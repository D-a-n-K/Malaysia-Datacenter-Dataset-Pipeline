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base" sheetId="1" state="visible" r:id="rId3"/>
    <sheet name="Market Summary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<sst xmlns="http://schemas.openxmlformats.org/spreadsheetml/2006/main" count="1567" uniqueCount="937">
  <si>
    <t xml:space="preserve">Data center</t>
  </si>
  <si>
    <t xml:space="preserve">Company </t>
  </si>
  <si>
    <t xml:space="preserve">City </t>
  </si>
  <si>
    <t xml:space="preserve">State</t>
  </si>
  <si>
    <t xml:space="preserve">Status</t>
  </si>
  <si>
    <t xml:space="preserve">Year Built</t>
  </si>
  <si>
    <t xml:space="preserve">Year Built Notes</t>
  </si>
  <si>
    <t xml:space="preserve">Latitude/Longitude</t>
  </si>
  <si>
    <t xml:space="preserve">Full Address</t>
  </si>
  <si>
    <t xml:space="preserve">Satellite Image</t>
  </si>
  <si>
    <t xml:space="preserve">Year of Satellite Image Capture</t>
  </si>
  <si>
    <t xml:space="preserve">Google Street View Image</t>
  </si>
  <si>
    <t xml:space="preserve">Year of Google Street View Image Capture</t>
  </si>
  <si>
    <t xml:space="preserve">Link (datacentermap.com)</t>
  </si>
  <si>
    <t xml:space="preserve">Land Transformation (I, S, R) </t>
  </si>
  <si>
    <t xml:space="preserve">Notes</t>
  </si>
  <si>
    <t xml:space="preserve">Size of Facility</t>
  </si>
  <si>
    <t xml:space="preserve">Open DC - PE2</t>
  </si>
  <si>
    <t xml:space="preserve">Open DC</t>
  </si>
  <si>
    <t xml:space="preserve">Bayan Lepas</t>
  </si>
  <si>
    <t xml:space="preserve">Penang</t>
  </si>
  <si>
    <t xml:space="preserve">Under Construction</t>
  </si>
  <si>
    <t xml:space="preserve">5.2966983° 100.2894956°</t>
  </si>
  <si>
    <t xml:space="preserve">17001, Medan Bayan Lepas, Phase 4, Jalan Bayan Lepas Industrial Park, 11900 Bayan Lepas, Penang, Malaysia</t>
  </si>
  <si>
    <t xml:space="preserve">https://www.google.com/maps?ll=5.2966983,100.2894956&amp;z=19&amp;t=k&amp;hl=en-US&amp;gl=US&amp;mapclient=apiv3</t>
  </si>
  <si>
    <t xml:space="preserve">https://www.google.com/maps/@?api=1&amp;map_action=pano&amp;viewpoint=5.2966983,100.2894956</t>
  </si>
  <si>
    <t xml:space="preserve">https://www.datacentermap.com/malaysia/george-town/open-dc-pe2/</t>
  </si>
  <si>
    <t xml:space="preserve">Designed for AI, ML, cloud, and high-power density. Note: listing uses 'George Town' market but facility is physically in Bayan Lepas (Penang Island, south of George Town).</t>
  </si>
  <si>
    <t xml:space="preserve">Next-gen AI/ML/HPC purpose-built</t>
  </si>
  <si>
    <t xml:space="preserve">Silverstream Tier IV Green Data Centre</t>
  </si>
  <si>
    <t xml:space="preserve">Silverstreams Techno Farm</t>
  </si>
  <si>
    <t xml:space="preserve">Bagan Datuk</t>
  </si>
  <si>
    <t xml:space="preserve">Perak</t>
  </si>
  <si>
    <t xml:space="preserve">Planned</t>
  </si>
  <si>
    <t xml:space="preserve">3.9779166° 100.7774424°</t>
  </si>
  <si>
    <t xml:space="preserve">Bagan Datuk, 36100 Bagan Datuk, Perak, Malaysia</t>
  </si>
  <si>
    <t xml:space="preserve">https://www.google.com/maps?ll=3.9779166,100.7774424&amp;z=19&amp;t=k&amp;hl=en-US&amp;gl=US&amp;mapclient=apiv3</t>
  </si>
  <si>
    <t xml:space="preserve">https://www.google.com/maps/@?api=1&amp;map_action=pano&amp;viewpoint=3.9779166,100.7774424</t>
  </si>
  <si>
    <t xml:space="preserve">https://www.datacentermap.com/malaysia/bagan-datuk/silverstream-tier-iv-green-data-centre/</t>
  </si>
  <si>
    <t xml:space="preserve">Marketed as leading Tier IV Green DC in Northern Malaysia. Coordinates are Bagan Datuk postal area centroid — no specific site address published.</t>
  </si>
  <si>
    <t xml:space="preserve">Tier IV (targeted)</t>
  </si>
  <si>
    <t xml:space="preserve">NTT GDC Cyberjaya 4</t>
  </si>
  <si>
    <t xml:space="preserve">NTT DATA, Inc.</t>
  </si>
  <si>
    <t xml:space="preserve">Cyberjaya</t>
  </si>
  <si>
    <t xml:space="preserve">Selangor</t>
  </si>
  <si>
    <t xml:space="preserve">Built</t>
  </si>
  <si>
    <t xml:space="preserve">2.9272384° 101.6588555°</t>
  </si>
  <si>
    <t xml:space="preserve">43000, Persiaran APEC, 63000 Cyberjaya, Selangor, Malaysia</t>
  </si>
  <si>
    <t xml:space="preserve">https://www.google.com/maps?ll=2.9272384,101.6588555&amp;z=19&amp;t=k&amp;hl=en-US&amp;gl=US&amp;mapclient=apiv3</t>
  </si>
  <si>
    <t xml:space="preserve">https://www.google.com/maps/@?api=1&amp;map_action=pano&amp;viewpoint=2.9272384,101.6588555</t>
  </si>
  <si>
    <t xml:space="preserve">https://www.datacentermap.com/malaysia/cyberjaya/gdc-cyberjaya-4-data-center/</t>
  </si>
  <si>
    <t xml:space="preserve">30 minutes from KLIA. Located in Multimedia Super Corridor (MSC).</t>
  </si>
  <si>
    <t xml:space="preserve">NTT GDC Cyberjaya 6</t>
  </si>
  <si>
    <t xml:space="preserve">2.9212264° 101.6493963°</t>
  </si>
  <si>
    <t xml:space="preserve">Persiaran Multimedia, 63000 Cyberjaya, Selangor, Malaysia</t>
  </si>
  <si>
    <t xml:space="preserve">https://www.google.com/maps?ll=2.9212264,101.6493963&amp;z=19&amp;t=k&amp;hl=en-US&amp;gl=US&amp;mapclient=apiv3</t>
  </si>
  <si>
    <t xml:space="preserve">https://www.google.com/maps/@?api=1&amp;map_action=pano&amp;viewpoint=2.9212264,101.6493963</t>
  </si>
  <si>
    <t xml:space="preserve">https://www.datacentermap.com/malaysia/cyberjaya/gdc-cyberjaya-6-data-center/</t>
  </si>
  <si>
    <t xml:space="preserve">7-story dedicated data center for hyperscaler and high-end enterprise needs.</t>
  </si>
  <si>
    <t xml:space="preserve">7 stories</t>
  </si>
  <si>
    <t xml:space="preserve">NTT GDC Cyberjaya 5</t>
  </si>
  <si>
    <t xml:space="preserve">https://www.datacentermap.com/malaysia/cyberjaya/gdc-cyberjaya-5-data-center/</t>
  </si>
  <si>
    <t xml:space="preserve">7-story facility. Low natural disaster risk (no earthquakes, floods).</t>
  </si>
  <si>
    <t xml:space="preserve">IP ServerOne CJ1 (KUL11)</t>
  </si>
  <si>
    <t xml:space="preserve">IP ServerOne Solutions Sdn Bhd</t>
  </si>
  <si>
    <t xml:space="preserve">2.9041863° 101.6519276°</t>
  </si>
  <si>
    <t xml:space="preserve">Jalan Cyber Point 4, Cyber 8, 63000 Cyberjaya, Selangor, Malaysia</t>
  </si>
  <si>
    <t xml:space="preserve">https://www.google.com/maps?ll=2.9041863,101.6519276&amp;z=19&amp;t=k&amp;hl=en-US&amp;gl=US&amp;mapclient=apiv3</t>
  </si>
  <si>
    <t xml:space="preserve">https://www.google.com/maps/@?api=1&amp;map_action=pano&amp;viewpoint=2.9041863,101.6519276</t>
  </si>
  <si>
    <t xml:space="preserve">https://www.datacentermap.com/malaysia/cyberjaya/ip-serverone-cyberjaya-cj1-kul11/</t>
  </si>
  <si>
    <t xml:space="preserve">Tier III carrier-neutral. ISO 27001, ISO 27017, PCI-DSS, SOC 2 Type II. Located in CJ1 Centre (shared multi-tenant facility).</t>
  </si>
  <si>
    <t xml:space="preserve">NTT GDC Cyberjaya 3</t>
  </si>
  <si>
    <t xml:space="preserve">Persiaran APEC, 63000 Cyberjaya, Selangor, Malaysia</t>
  </si>
  <si>
    <t xml:space="preserve">https://www.datacentermap.com/malaysia/cyberjaya/gdc-cyberjaya-3-data-center/</t>
  </si>
  <si>
    <t xml:space="preserve">Opened April 2012. NOTE: datacentermap.com listing shows an Indonesian address (Bekasi, Cikarang) which is incorrect — the facility is in Cyberjaya. Address shown here corrected.</t>
  </si>
  <si>
    <t xml:space="preserve">Basis Bay Cyberjaya DC.2</t>
  </si>
  <si>
    <t xml:space="preserve">Basis Bay SDN BHD</t>
  </si>
  <si>
    <t xml:space="preserve">2.914565° 101.649916°</t>
  </si>
  <si>
    <t xml:space="preserve">Jalan Cyber Point 3, 63000 Cyberjaya, Selangor, Malaysia</t>
  </si>
  <si>
    <t xml:space="preserve">https://www.google.com/maps?ll=2.914565,101.649916&amp;z=19&amp;t=k&amp;hl=en-US&amp;gl=US&amp;mapclient=apiv3</t>
  </si>
  <si>
    <t xml:space="preserve">https://www.google.com/maps/@?api=1&amp;map_action=pano&amp;viewpoint=2.914565,101.649916</t>
  </si>
  <si>
    <t xml:space="preserve">https://www.datacentermap.com/malaysia/cyberjaya/basis-bay-cyberjaya-dc-2/</t>
  </si>
  <si>
    <t xml:space="preserve">Joint venture between STT GDC and Basis Bay (originally STT Cyberjaya DC.2). Coordinates approximate to Jalan Cyber Point 3.</t>
  </si>
  <si>
    <t xml:space="preserve">LEED Gold certification target</t>
  </si>
  <si>
    <t xml:space="preserve">Infinaxis Cyberjaya 1</t>
  </si>
  <si>
    <t xml:space="preserve">Infinaxis</t>
  </si>
  <si>
    <t xml:space="preserve">2.9158979° 101.655345°</t>
  </si>
  <si>
    <t xml:space="preserve">Lot 23586, Jalan Teknokrat 8, Cyber 5, 63000 Cyberjaya, Selangor, Malaysia</t>
  </si>
  <si>
    <t xml:space="preserve">https://www.google.com/maps?ll=2.9158979,101.655345&amp;z=19&amp;t=k&amp;hl=en-US&amp;gl=US&amp;mapclient=apiv3</t>
  </si>
  <si>
    <t xml:space="preserve">https://www.google.com/maps/@?api=1&amp;map_action=pano&amp;viewpoint=2.9158979,101.655345</t>
  </si>
  <si>
    <t xml:space="preserve">https://www.datacentermap.com/malaysia/cyberjaya/infinaxis-cyberjaya-1/</t>
  </si>
  <si>
    <t xml:space="preserve">Tier III-targeted facility in MSC.</t>
  </si>
  <si>
    <t xml:space="preserve">Tier III target</t>
  </si>
  <si>
    <t xml:space="preserve">PLTPRO Cyberjaya</t>
  </si>
  <si>
    <t xml:space="preserve">PLTPro Data Center Sdn Bhd</t>
  </si>
  <si>
    <t xml:space="preserve">2.9171543° 101.6619044°</t>
  </si>
  <si>
    <t xml:space="preserve">West Wing, CX2 Computer Exchange, 7118 Jalan Impact, 63000 Cyberjaya, Selangor, Malaysia</t>
  </si>
  <si>
    <t xml:space="preserve">https://www.google.com/maps?ll=2.9171543,101.6619044&amp;z=19&amp;t=k&amp;hl=en-US&amp;gl=US&amp;mapclient=apiv3</t>
  </si>
  <si>
    <t xml:space="preserve">https://www.google.com/maps/@?api=1&amp;map_action=pano&amp;viewpoint=2.9171543,101.6619044</t>
  </si>
  <si>
    <t xml:space="preserve">https://www.datacentermap.com/malaysia/cyberjaya/pltpro-cyberjaya/</t>
  </si>
  <si>
    <t xml:space="preserve">Colocation within CX2 Computer Exchange (CSF Group facility).</t>
  </si>
  <si>
    <t xml:space="preserve">STT Kuala Lumpur 1</t>
  </si>
  <si>
    <t xml:space="preserve">ST Telemedia Global Data Centres</t>
  </si>
  <si>
    <t xml:space="preserve">Cyberjaya, 63000 Cyberjaya, Selangor, Malaysia</t>
  </si>
  <si>
    <t xml:space="preserve">https://www.datacentermap.com/malaysia/cyberjaya/stt-kuala-lumpur-1/</t>
  </si>
  <si>
    <t xml:space="preserve">Named 'Kuala Lumpur 1' but physically in Cyberjaya. Coordinates approximate.</t>
  </si>
  <si>
    <t xml:space="preserve">TelcoHubX</t>
  </si>
  <si>
    <t xml:space="preserve">Velo Technologies Sdn Bhd</t>
  </si>
  <si>
    <t xml:space="preserve">2.9129573° 101.6557385°</t>
  </si>
  <si>
    <t xml:space="preserve">CSF CX1, 3552 Jalan Teknokrat 6, 63000 Cyberjaya, Selangor, Malaysia</t>
  </si>
  <si>
    <t xml:space="preserve">https://www.google.com/maps?ll=2.9129573,101.6557385&amp;z=19&amp;t=k&amp;hl=en-US&amp;gl=US&amp;mapclient=apiv3</t>
  </si>
  <si>
    <t xml:space="preserve">https://www.google.com/maps/@?api=1&amp;map_action=pano&amp;viewpoint=2.9129573,101.6557385</t>
  </si>
  <si>
    <t xml:space="preserve">https://www.datacentermap.com/malaysia/cyberjaya/telcohubx/</t>
  </si>
  <si>
    <t xml:space="preserve">Malaysia Fiber Exchange Hub; carrier hotel within CSF CX1.</t>
  </si>
  <si>
    <t xml:space="preserve">VADS CBJ1</t>
  </si>
  <si>
    <t xml:space="preserve">VADS Berhad</t>
  </si>
  <si>
    <t xml:space="preserve">2.9304608° 101.6567979°</t>
  </si>
  <si>
    <t xml:space="preserve">Lingkaran Usahawan 1 Timur, 63000 Cyberjaya, Selangor, Malaysia</t>
  </si>
  <si>
    <t xml:space="preserve">https://www.google.com/maps?ll=2.9304608,101.6567979&amp;z=19&amp;t=k&amp;hl=en-US&amp;gl=US&amp;mapclient=apiv3</t>
  </si>
  <si>
    <t xml:space="preserve">https://www.google.com/maps/@?api=1&amp;map_action=pano&amp;viewpoint=2.9304608,101.6567979</t>
  </si>
  <si>
    <t xml:space="preserve">https://www.datacentermap.com/malaysia/cyberjaya/vads-cbj1/</t>
  </si>
  <si>
    <t xml:space="preserve">Within Telekom Malaysia IT Complex (TMIT) in Cyberjaya MSC.</t>
  </si>
  <si>
    <t xml:space="preserve">TelcoHub 1</t>
  </si>
  <si>
    <t xml:space="preserve">Digital Realty</t>
  </si>
  <si>
    <t xml:space="preserve">3552 Jalan Teknokrat 6, 63000 Cyberjaya, Selangor, Malaysia</t>
  </si>
  <si>
    <t xml:space="preserve">https://www.datacentermap.com/malaysia/cyberjaya/telcohub-1/</t>
  </si>
  <si>
    <t xml:space="preserve">Digital Realty brand; the former CSF CX1 Data Center (acquired).</t>
  </si>
  <si>
    <t xml:space="preserve">AIMS Cyberjaya</t>
  </si>
  <si>
    <t xml:space="preserve">AIMS Data Centre</t>
  </si>
  <si>
    <t xml:space="preserve">2.9381283° 101.6578178°</t>
  </si>
  <si>
    <t xml:space="preserve">Jalan Teknokrat 1/2, Cyber 3, 63000 Cyberjaya, Selangor, Malaysia</t>
  </si>
  <si>
    <t xml:space="preserve">https://www.google.com/maps?ll=2.9381283,101.6578178&amp;z=19&amp;t=k&amp;hl=en-US&amp;gl=US&amp;mapclient=apiv3</t>
  </si>
  <si>
    <t xml:space="preserve">https://www.google.com/maps/@?api=1&amp;map_action=pano&amp;viewpoint=2.9381283,101.6578178</t>
  </si>
  <si>
    <t xml:space="preserve">https://www.datacentermap.com/malaysia/cyberjaya/aims-cyberjaya/</t>
  </si>
  <si>
    <t xml:space="preserve">Tier III certified flagship AIMS facility.</t>
  </si>
  <si>
    <t xml:space="preserve">Tier III certified</t>
  </si>
  <si>
    <t xml:space="preserve">Basis Bay Cyberjaya DC.1</t>
  </si>
  <si>
    <t xml:space="preserve">2.9058489° 101.6527141°</t>
  </si>
  <si>
    <t xml:space="preserve">4710 Jalan Cyber Point 5, 63000 Cyberjaya, Selangor, Malaysia</t>
  </si>
  <si>
    <t xml:space="preserve">https://www.google.com/maps?ll=2.9058489,101.6527141&amp;z=19&amp;t=k&amp;hl=en-US&amp;gl=US&amp;mapclient=apiv3</t>
  </si>
  <si>
    <t xml:space="preserve">https://www.google.com/maps/@?api=1&amp;map_action=pano&amp;viewpoint=2.9058489,101.6527141</t>
  </si>
  <si>
    <t xml:space="preserve">https://www.datacentermap.com/malaysia/cyberjaya/basis-bay-cyberjaya-dc-1/</t>
  </si>
  <si>
    <t xml:space="preserve">Basis Bay's original Cyberjaya facility.</t>
  </si>
  <si>
    <t xml:space="preserve">NTT GDC Cyberjaya 2</t>
  </si>
  <si>
    <t xml:space="preserve">https://www.datacentermap.com/malaysia/cyberjaya/gdc-cyberjaya-2-data-center/</t>
  </si>
  <si>
    <t xml:space="preserve">Tier 3 &amp; Tier 4 redundant facility. NOTE: datacentermap.com listing shows Jakarta address (Jl. Kuningan Barat) which is incorrect — the facility is in Cyberjaya MSC.</t>
  </si>
  <si>
    <t xml:space="preserve">Tier III + Tier IV redundancy</t>
  </si>
  <si>
    <t xml:space="preserve">BDC MY01</t>
  </si>
  <si>
    <t xml:space="preserve">Bridge Data Centres</t>
  </si>
  <si>
    <t xml:space="preserve">7118 Jalan Impact, 63000 Cyberjaya, Selangor, Malaysia</t>
  </si>
  <si>
    <t xml:space="preserve">https://www.datacentermap.com/malaysia/cyberjaya/bdc-my01/</t>
  </si>
  <si>
    <t xml:space="preserve">Bridge Data Centres Cyberjaya flagship. Direct link to another Bridge facility.</t>
  </si>
  <si>
    <t xml:space="preserve">AIMS Cyberjaya CJ1</t>
  </si>
  <si>
    <t xml:space="preserve">Dengkil</t>
  </si>
  <si>
    <t xml:space="preserve">Jalan Cyber Point 2, Cyber 8, 63000 Dengkil, Selangor, Malaysia</t>
  </si>
  <si>
    <t xml:space="preserve">https://www.datacentermap.com/malaysia/cyberjaya/aims-cyberjaya-cj1/</t>
  </si>
  <si>
    <t xml:space="preserve">AIMS colocation within CJ1 Centre (carrier hotel).</t>
  </si>
  <si>
    <t xml:space="preserve">Vantage KUL1 - Building 1</t>
  </si>
  <si>
    <t xml:space="preserve">Vantage Data Centers</t>
  </si>
  <si>
    <t xml:space="preserve">2.9041534° 101.6516027°</t>
  </si>
  <si>
    <t xml:space="preserve">1, Jalan Cyber Point 4, Cyber 8, 63000 Cyberjaya, Selangor, Malaysia</t>
  </si>
  <si>
    <t xml:space="preserve">https://www.google.com/maps?ll=2.9041534,101.6516027&amp;z=19&amp;t=k&amp;hl=en-US&amp;gl=US&amp;mapclient=apiv3</t>
  </si>
  <si>
    <t xml:space="preserve">https://www.google.com/maps/@?api=1&amp;map_action=pano&amp;viewpoint=2.9041534,101.6516027</t>
  </si>
  <si>
    <t xml:space="preserve">https://www.datacentermap.com/malaysia/cyberjaya/vantage-kul1-building-1/</t>
  </si>
  <si>
    <t xml:space="preserve">Building 1 of Vantage's KUL1 Cyberjaya I campus.</t>
  </si>
  <si>
    <t xml:space="preserve">NTT Cyberjaya 1</t>
  </si>
  <si>
    <t xml:space="preserve">43000, Jalan APEC, 63000 Cyberjaya, Selangor, Malaysia</t>
  </si>
  <si>
    <t xml:space="preserve">https://www.datacentermap.com/malaysia/cyberjaya/ntt-cyberjaya-1/</t>
  </si>
  <si>
    <t xml:space="preserve">NTT's original Cyberjaya facility.</t>
  </si>
  <si>
    <t xml:space="preserve">Open DC - CJ1</t>
  </si>
  <si>
    <t xml:space="preserve">https://www.datacentermap.com/malaysia/cyberjaya/open-dc-cj1/</t>
  </si>
  <si>
    <t xml:space="preserve">Purpose-built 4-story DC and office block within CJ1 Centre.</t>
  </si>
  <si>
    <t xml:space="preserve">40,000 sq ft; 4 stories; 800mm raised floor</t>
  </si>
  <si>
    <t xml:space="preserve">BDC MY02</t>
  </si>
  <si>
    <t xml:space="preserve">Jalan Cyber Point 2, Cyber 12, 63000 Cyberjaya, Selangor, Malaysia</t>
  </si>
  <si>
    <t xml:space="preserve">https://www.datacentermap.com/malaysia/cyberjaya/bdc-my02/</t>
  </si>
  <si>
    <t xml:space="preserve">Carrier-neutral, high-power density. Coordinates approximate to Jalan Cyber Point 2.</t>
  </si>
  <si>
    <t xml:space="preserve">15 MW</t>
  </si>
  <si>
    <t xml:space="preserve">VADS CBJ8</t>
  </si>
  <si>
    <t xml:space="preserve">2.9042057° 101.651927°</t>
  </si>
  <si>
    <t xml:space="preserve">https://www.google.com/maps?ll=2.9042057,101.651927&amp;z=19&amp;t=k&amp;hl=en-US&amp;gl=US&amp;mapclient=apiv3</t>
  </si>
  <si>
    <t xml:space="preserve">https://www.google.com/maps/@?api=1&amp;map_action=pano&amp;viewpoint=2.9042057,101.651927</t>
  </si>
  <si>
    <t xml:space="preserve">https://www.datacentermap.com/malaysia/cyberjaya/vads-cbj8/</t>
  </si>
  <si>
    <t xml:space="preserve">VADS managed services within CJ1 Centre / CBJ8 building.</t>
  </si>
  <si>
    <t xml:space="preserve">Equinix KL1</t>
  </si>
  <si>
    <t xml:space="preserve">Equinix</t>
  </si>
  <si>
    <t xml:space="preserve">No. 2, Jalan Cyber Point 4, Cyber 8, 63000 Cyberjaya, Selangor, Malaysia</t>
  </si>
  <si>
    <t xml:space="preserve">https://www.datacentermap.com/malaysia/cyberjaya/equinix-kl1/</t>
  </si>
  <si>
    <t xml:space="preserve">Opened Q1 2024. Supports Malaysian Government MyDIGITAL initiative.</t>
  </si>
  <si>
    <t xml:space="preserve">VADS CBJ6 (CX2)</t>
  </si>
  <si>
    <t xml:space="preserve">CX2 Computer Exchange, 7118 Jalan Impact, 63000 Cyberjaya, Selangor, Malaysia</t>
  </si>
  <si>
    <t xml:space="preserve">https://www.datacentermap.com/malaysia/cyberjaya/vads-cbj6-cx2/</t>
  </si>
  <si>
    <t xml:space="preserve">VADS managed services within CSF CX2 facility.</t>
  </si>
  <si>
    <t xml:space="preserve">EdgeConneX Cyberjaya</t>
  </si>
  <si>
    <t xml:space="preserve">EdgeConneX</t>
  </si>
  <si>
    <t xml:space="preserve">Cyberjaya, 47100 Cyberjaya, Selangor, Malaysia</t>
  </si>
  <si>
    <t xml:space="preserve">https://www.datacentermap.com/malaysia/cyberjaya/edgeconnex-cyberjaya/</t>
  </si>
  <si>
    <t xml:space="preserve">EdgeConneX Cyberjaya facility. Coordinates approximate (exact address not disclosed).</t>
  </si>
  <si>
    <t xml:space="preserve">VADS CBJ5</t>
  </si>
  <si>
    <t xml:space="preserve">CSF Computer Exchange, 3552 Jalan Teknokrat 6, 63000 Cyberjaya, Selangor, Malaysia</t>
  </si>
  <si>
    <t xml:space="preserve">https://www.datacentermap.com/malaysia/cyberjaya/vads-cbj5/</t>
  </si>
  <si>
    <t xml:space="preserve">VADS managed services within CSF CX1 facility.</t>
  </si>
  <si>
    <t xml:space="preserve">VADS CBJ2</t>
  </si>
  <si>
    <t xml:space="preserve">2.9204303° 101.6417461°</t>
  </si>
  <si>
    <t xml:space="preserve">Level 2, Bangunan TM CBJ Unit 2, Jalan Lingkaran Fauna, 63000 Cyberjaya, Selangor, Malaysia</t>
  </si>
  <si>
    <t xml:space="preserve">https://www.google.com/maps?ll=2.9204303,101.6417461&amp;z=19&amp;t=k&amp;hl=en-US&amp;gl=US&amp;mapclient=apiv3</t>
  </si>
  <si>
    <t xml:space="preserve">https://www.google.com/maps/@?api=1&amp;map_action=pano&amp;viewpoint=2.9204303,101.6417461</t>
  </si>
  <si>
    <t xml:space="preserve">https://www.datacentermap.com/malaysia/cyberjaya/vads-cbj2/</t>
  </si>
  <si>
    <t xml:space="preserve">Within TM CBJ2 building.</t>
  </si>
  <si>
    <t xml:space="preserve">Vantage KUL1 - Cyberjaya I Campus</t>
  </si>
  <si>
    <t xml:space="preserve">https://www.datacentermap.com/malaysia/cyberjaya/vantage-kul1-cyberjaya-i-campus/</t>
  </si>
  <si>
    <t xml:space="preserve">Vantage Cyberjaya campus master record (houses Buildings 1-3).</t>
  </si>
  <si>
    <t xml:space="preserve">MY01 (Hitachi Sunway)</t>
  </si>
  <si>
    <t xml:space="preserve">Hitachi Sunway Data Centre Services Sdn Bhd</t>
  </si>
  <si>
    <t xml:space="preserve">7118, CX2 Computer Exchange, Jalan Impact, 63000 Cyberjaya, Selangor, Malaysia</t>
  </si>
  <si>
    <t xml:space="preserve">https://www.datacentermap.com/malaysia/cyberjaya/my01/</t>
  </si>
  <si>
    <t xml:space="preserve">PCIDSS, ISO 20000, ISO 27001, ISO 50001. Tier II/III ready. Multiple Tier 1 upstream providers.</t>
  </si>
  <si>
    <t xml:space="preserve">23,500 sq ft</t>
  </si>
  <si>
    <t xml:space="preserve">Equinix KL2</t>
  </si>
  <si>
    <t xml:space="preserve">2.9082386° 101.6455281°</t>
  </si>
  <si>
    <t xml:space="preserve">Persiaran Rimba Permai, 63000 Cyberjaya, Selangor, Malaysia</t>
  </si>
  <si>
    <t xml:space="preserve">https://www.google.com/maps?ll=2.9082386,101.6455281&amp;z=19&amp;t=k&amp;hl=en-US&amp;gl=US&amp;mapclient=apiv3</t>
  </si>
  <si>
    <t xml:space="preserve">https://www.google.com/maps/@?api=1&amp;map_action=pano&amp;viewpoint=2.9082386,101.6455281</t>
  </si>
  <si>
    <t xml:space="preserve">https://www.datacentermap.com/malaysia/cyberjaya/equinix-kl2/</t>
  </si>
  <si>
    <t xml:space="preserve">Planned Equinix expansion for HPC/AI workloads.</t>
  </si>
  <si>
    <t xml:space="preserve">HPC/AI workloads</t>
  </si>
  <si>
    <t xml:space="preserve">Vantage KUL1 - Building 2</t>
  </si>
  <si>
    <t xml:space="preserve">https://www.datacentermap.com/malaysia/cyberjaya/vantage-kul1-building-2/</t>
  </si>
  <si>
    <t xml:space="preserve">Building 2 of Vantage KUL1 campus.</t>
  </si>
  <si>
    <t xml:space="preserve">TM Klang Valley Data Center (KVDC)</t>
  </si>
  <si>
    <t xml:space="preserve">TM Global</t>
  </si>
  <si>
    <t xml:space="preserve">2.9324173° 101.6558459°</t>
  </si>
  <si>
    <t xml:space="preserve">Lingkaran Teknokrat Barat, 63000 Cyberjaya, Selangor, Malaysia</t>
  </si>
  <si>
    <t xml:space="preserve">https://www.google.com/maps?ll=2.9324173,101.6558459&amp;z=19&amp;t=k&amp;hl=en-US&amp;gl=US&amp;mapclient=apiv3</t>
  </si>
  <si>
    <t xml:space="preserve">https://www.google.com/maps/@?api=1&amp;map_action=pano&amp;viewpoint=2.9324173,101.6558459</t>
  </si>
  <si>
    <t xml:space="preserve">https://www.datacentermap.com/malaysia/cyberjaya/tm-klang-valley-data-center-kvdc/</t>
  </si>
  <si>
    <t xml:space="preserve">Carrier-neutral, green facility. Connected to TM International Gateway.</t>
  </si>
  <si>
    <t xml:space="preserve">Vantage KUL1 - Building 3</t>
  </si>
  <si>
    <t xml:space="preserve">https://www.datacentermap.com/malaysia/cyberjaya/vantage-kul1-building-3/</t>
  </si>
  <si>
    <t xml:space="preserve">Building 3 of Vantage KUL1 campus.</t>
  </si>
  <si>
    <t xml:space="preserve">SKALI Cyberjaya</t>
  </si>
  <si>
    <t xml:space="preserve">SKALI</t>
  </si>
  <si>
    <t xml:space="preserve">https://www.datacentermap.com/malaysia/cyberjaya/skali-cyberjaya/</t>
  </si>
  <si>
    <t xml:space="preserve">One of Malaysia's oldest commercial DCs; hosted AltaVista mirror site in 1997. Located in CSF CX1.</t>
  </si>
  <si>
    <t xml:space="preserve">Originally 880 sq ft</t>
  </si>
  <si>
    <t xml:space="preserve">CX2 Data Center</t>
  </si>
  <si>
    <t xml:space="preserve">CSF Group</t>
  </si>
  <si>
    <t xml:space="preserve">https://www.datacentermap.com/malaysia/cyberjaya/cx2-data-center/</t>
  </si>
  <si>
    <t xml:space="preserve">CSF Group's second Cyberjaya facility (CX2).</t>
  </si>
  <si>
    <t xml:space="preserve">FREENET Malaysia Data Centre - CX2</t>
  </si>
  <si>
    <t xml:space="preserve">Jalan Impact (formerly Jalan Teknologi 1), 63000 Cyberjaya, Selangor, Malaysia</t>
  </si>
  <si>
    <t xml:space="preserve">https://www.datacentermap.com/malaysia/cyberjaya/freenet-malaysia-data-centre-cx2/</t>
  </si>
  <si>
    <t xml:space="preserve">ISO 27001 certified. Network-neutral telco/IDC.</t>
  </si>
  <si>
    <t xml:space="preserve">FREENET Malaysia Data Center - CSQ1</t>
  </si>
  <si>
    <t xml:space="preserve">2.9250521° 101.661399°</t>
  </si>
  <si>
    <t xml:space="preserve">G06, Block 2310, Jalan Usahawan, Century Square, 63000 Cyberjaya, Selangor, Malaysia</t>
  </si>
  <si>
    <t xml:space="preserve">https://www.google.com/maps?ll=2.9250521,101.661399&amp;z=19&amp;t=k&amp;hl=en-US&amp;gl=US&amp;mapclient=apiv3</t>
  </si>
  <si>
    <t xml:space="preserve">https://www.google.com/maps/@?api=1&amp;map_action=pano&amp;viewpoint=2.9250521,101.661399</t>
  </si>
  <si>
    <t xml:space="preserve">https://www.datacentermap.com/malaysia/cyberjaya/freenet-malaysia-data-center-csq1/</t>
  </si>
  <si>
    <t xml:space="preserve">Located in Century Square office complex.</t>
  </si>
  <si>
    <t xml:space="preserve">TM Nxera Iskandar Puteri</t>
  </si>
  <si>
    <t xml:space="preserve">TM Nxera</t>
  </si>
  <si>
    <t xml:space="preserve">Iskandar Puteri</t>
  </si>
  <si>
    <t xml:space="preserve">Johor</t>
  </si>
  <si>
    <t xml:space="preserve">1.434379° 103.620491°</t>
  </si>
  <si>
    <t xml:space="preserve">Jalan Kampung Lalang, 79100 Iskandar Puteri, Johor, Malaysia</t>
  </si>
  <si>
    <t xml:space="preserve">https://www.google.com/maps?ll=1.434379,103.620491&amp;z=19&amp;t=k&amp;hl=en-US&amp;gl=US&amp;mapclient=apiv3</t>
  </si>
  <si>
    <t xml:space="preserve">https://www.google.com/maps/@?api=1&amp;map_action=pano&amp;viewpoint=1.434379,103.620491</t>
  </si>
  <si>
    <t xml:space="preserve">https://www.datacentermap.com/malaysia/iskandar-puteri/tm-nxera-iskandar-puteri/</t>
  </si>
  <si>
    <t xml:space="preserve">Joint venture between TM and Singtel Nxera, targeting hyperscale/AI demand. Up to 200 MW at full build.</t>
  </si>
  <si>
    <t xml:space="preserve">Up to 200 MW (planned)</t>
  </si>
  <si>
    <t xml:space="preserve">Keppel DC Johor 1</t>
  </si>
  <si>
    <t xml:space="preserve">Keppel Data Centres</t>
  </si>
  <si>
    <t xml:space="preserve">Kulai</t>
  </si>
  <si>
    <t xml:space="preserve">1.702866° 103.414006°</t>
  </si>
  <si>
    <t xml:space="preserve">Sedenak Tech Park, No 21 Jalan Digital 7, Bukit Batu, 82100 Kulai, Johor, Malaysia</t>
  </si>
  <si>
    <t xml:space="preserve">https://www.google.com/maps?ll=1.702866,103.414006&amp;z=19&amp;t=k&amp;hl=en-US&amp;gl=US&amp;mapclient=apiv3</t>
  </si>
  <si>
    <t xml:space="preserve">https://www.google.com/maps/@?api=1&amp;map_action=pano&amp;viewpoint=1.702866,103.414006</t>
  </si>
  <si>
    <t xml:space="preserve">https://www.datacentermap.com/malaysia/kulai/keppel-dc-johor-1/</t>
  </si>
  <si>
    <t xml:space="preserve">Purpose-built colocation facility in Sedenak Tech Park.</t>
  </si>
  <si>
    <t xml:space="preserve">20 MW</t>
  </si>
  <si>
    <t xml:space="preserve">Equinix JH1</t>
  </si>
  <si>
    <t xml:space="preserve">1.4311828° 103.5987202°</t>
  </si>
  <si>
    <t xml:space="preserve">No. 2 &amp; 6, Jalan Teknologi Perintis 1/3, Taman Teknologi Nusajaya, 79200 Iskandar Puteri, Johor, Malaysia</t>
  </si>
  <si>
    <t xml:space="preserve">https://www.google.com/maps?ll=1.4311828,103.5987202&amp;z=19&amp;t=k&amp;hl=en-US&amp;gl=US&amp;mapclient=apiv3</t>
  </si>
  <si>
    <t xml:space="preserve">https://www.google.com/maps/@?api=1&amp;map_action=pano&amp;viewpoint=1.4311828,103.5987202</t>
  </si>
  <si>
    <t xml:space="preserve">https://www.datacentermap.com/malaysia/johor-bahru/equinix-jh1/</t>
  </si>
  <si>
    <t xml:space="preserve">Opened H1 2024. ~15 km from Singapore; aligned with MyDIGITAL initiative.</t>
  </si>
  <si>
    <t xml:space="preserve">500+ cabinets (Phase 1); $40M initial investment</t>
  </si>
  <si>
    <t xml:space="preserve">Open DC - JB1</t>
  </si>
  <si>
    <t xml:space="preserve">Johor Bahru</t>
  </si>
  <si>
    <t xml:space="preserve">1.4629805° 103.7719136°</t>
  </si>
  <si>
    <t xml:space="preserve">Level 16, Menara MSC Cyberport, No. 5, Jalan Bukit Meldrum, Tanjung Puteri, 80300 Johor Bahru, Johor, Malaysia</t>
  </si>
  <si>
    <t xml:space="preserve">https://www.google.com/maps?ll=1.4629805,103.7719136&amp;z=19&amp;t=k&amp;hl=en-US&amp;gl=US&amp;mapclient=apiv3</t>
  </si>
  <si>
    <t xml:space="preserve">https://www.google.com/maps/@?api=1&amp;map_action=pano&amp;viewpoint=1.4629805,103.7719136</t>
  </si>
  <si>
    <t xml:space="preserve">https://www.datacentermap.com/malaysia/johor-bahru/open-dc-jb1/</t>
  </si>
  <si>
    <t xml:space="preserve">Telco hub at Malaysia-Singapore border. Hosts DE-CIX/JBIX Internet Exchange node.</t>
  </si>
  <si>
    <t xml:space="preserve">Racks Central RCJM2B</t>
  </si>
  <si>
    <t xml:space="preserve">Racks Central Pte Ltd</t>
  </si>
  <si>
    <t xml:space="preserve">Pasir Gudang</t>
  </si>
  <si>
    <t xml:space="preserve">1.5345577° 103.9283651°</t>
  </si>
  <si>
    <t xml:space="preserve">Iskandar Halal Park, Jalan Felda Cahaya Baru, 81700 Pasir Gudang, Johor, Malaysia</t>
  </si>
  <si>
    <t xml:space="preserve">https://www.google.com/maps?ll=1.5345577,103.9283651&amp;z=19&amp;t=k&amp;hl=en-US&amp;gl=US&amp;mapclient=apiv3</t>
  </si>
  <si>
    <t xml:space="preserve">https://www.google.com/maps/@?api=1&amp;map_action=pano&amp;viewpoint=1.5345577,103.9283651</t>
  </si>
  <si>
    <t xml:space="preserve">https://www.datacentermap.com/malaysia/pasir-gudang/racks-central-rcjm2b/</t>
  </si>
  <si>
    <t xml:space="preserve">Hyperscale facility for AI and high-density workloads. Sub-millisecond connectivity to Singapore.</t>
  </si>
  <si>
    <t xml:space="preserve">Hyperscale (part of 14.4-acre campus)</t>
  </si>
  <si>
    <t xml:space="preserve">Racks Central RCJM1</t>
  </si>
  <si>
    <t xml:space="preserve">https://www.datacentermap.com/malaysia/pasir-gudang/racks-central-rcjm1/</t>
  </si>
  <si>
    <t xml:space="preserve">Hyperscale greenfield facility. Liquid-ready, high-density racks, carrier-neutral.</t>
  </si>
  <si>
    <t xml:space="preserve">90 MW IT load</t>
  </si>
  <si>
    <t xml:space="preserve">Racks Central RCJM2A</t>
  </si>
  <si>
    <t xml:space="preserve">https://www.datacentermap.com/malaysia/pasir-gudang/racks-central-rcjm2a/</t>
  </si>
  <si>
    <t xml:space="preserve">Purpose-engineered for high-density AI workloads with scalable power and advanced cooling.</t>
  </si>
  <si>
    <t xml:space="preserve">14.4-acre hyperscale campus</t>
  </si>
  <si>
    <t xml:space="preserve">BrightRay MY-01</t>
  </si>
  <si>
    <t xml:space="preserve">BRIGHTRAY</t>
  </si>
  <si>
    <t xml:space="preserve">1.6925127° 103.4147133°</t>
  </si>
  <si>
    <t xml:space="preserve">Sedenak Tech Park, 82100 Kulai, Johor, Malaysia</t>
  </si>
  <si>
    <t xml:space="preserve">https://www.google.com/maps?ll=1.6925127,103.4147133&amp;z=19&amp;t=k&amp;hl=en-US&amp;gl=US&amp;mapclient=apiv3</t>
  </si>
  <si>
    <t xml:space="preserve">https://www.google.com/maps/@?api=1&amp;map_action=pano&amp;viewpoint=1.6925127,103.4147133</t>
  </si>
  <si>
    <t xml:space="preserve">https://www.datacentermap.com/malaysia/johor-bahru/brightray-my-01/</t>
  </si>
  <si>
    <t xml:space="preserve">High-performance prefabricated modular data center in Sedenak Tech Park.</t>
  </si>
  <si>
    <t xml:space="preserve">Prefabricated modular</t>
  </si>
  <si>
    <t xml:space="preserve">Open DC - JB2</t>
  </si>
  <si>
    <t xml:space="preserve">1.4608797° 103.7631473°</t>
  </si>
  <si>
    <t xml:space="preserve">65, Jalan Trus, 80000 Johor Bahru, Johor, Malaysia</t>
  </si>
  <si>
    <t xml:space="preserve">https://www.google.com/maps?ll=1.4608797,103.7631473&amp;z=19&amp;t=k&amp;hl=en-US&amp;gl=US&amp;mapclient=apiv3</t>
  </si>
  <si>
    <t xml:space="preserve">https://www.google.com/maps/@?api=1&amp;map_action=pano&amp;viewpoint=1.4608797,103.7631473</t>
  </si>
  <si>
    <t xml:space="preserve">https://www.datacentermap.com/malaysia/johor-bahru/open-dc-jb2/</t>
  </si>
  <si>
    <t xml:space="preserve">Designed as backup site for JB1 customers. Hosts second DE-CIX/JBIX IX node in Johor Bahru.</t>
  </si>
  <si>
    <t xml:space="preserve">Princeton Digital JH1</t>
  </si>
  <si>
    <t xml:space="preserve">Princeton Digital Group</t>
  </si>
  <si>
    <t xml:space="preserve">1.6923009° 103.4145192°</t>
  </si>
  <si>
    <t xml:space="preserve">Jalan Digital Utama, 81100 Kulai, Johor, Malaysia</t>
  </si>
  <si>
    <t xml:space="preserve">https://www.google.com/maps?ll=1.6923009,103.4145192&amp;z=19&amp;t=k&amp;hl=en-US&amp;gl=US&amp;mapclient=apiv3</t>
  </si>
  <si>
    <t xml:space="preserve">https://www.google.com/maps/@?api=1&amp;map_action=pano&amp;viewpoint=1.6923009,103.4145192</t>
  </si>
  <si>
    <t xml:space="preserve">https://www.datacentermap.com/malaysia/kulai/princeton-digital-jh1/</t>
  </si>
  <si>
    <t xml:space="preserve">PDG flagship SEA campus — JH1 targets hyperscaler demand.</t>
  </si>
  <si>
    <t xml:space="preserve">700-acre complex; flagship SE Asia campus</t>
  </si>
  <si>
    <t xml:space="preserve">YTL Johor Data Center 1</t>
  </si>
  <si>
    <t xml:space="preserve">YTL Data Center Holdings Pte. Ltd.</t>
  </si>
  <si>
    <t xml:space="preserve">1.6205686° 103.5215847°</t>
  </si>
  <si>
    <t xml:space="preserve">YTL Green Data Center Park, Jalan Lestari Hijau 1, Taman Lestari Hijau, 81000 Kulai, Johor, Malaysia</t>
  </si>
  <si>
    <t xml:space="preserve">https://www.google.com/maps?ll=1.6205686,103.5215847&amp;z=19&amp;t=k&amp;hl=en-US&amp;gl=US&amp;mapclient=apiv3</t>
  </si>
  <si>
    <t xml:space="preserve">https://www.google.com/maps/@?api=1&amp;map_action=pano&amp;viewpoint=1.6205686,103.5215847</t>
  </si>
  <si>
    <t xml:space="preserve">https://www.datacentermap.com/malaysia/kulai/ytl-johor-data-center-1/</t>
  </si>
  <si>
    <t xml:space="preserve">First solar-powered data center in the region. Part of YTL Green Data Center Park (600 MW total development capacity).</t>
  </si>
  <si>
    <t xml:space="preserve">72 MW</t>
  </si>
  <si>
    <t xml:space="preserve">Equinix JH2</t>
  </si>
  <si>
    <t xml:space="preserve">Gelang Patah</t>
  </si>
  <si>
    <t xml:space="preserve">1.4299367° 103.5976366°</t>
  </si>
  <si>
    <t xml:space="preserve">PTD 5225, Jalan Teknologi Perintis 2/1, Mukim Tanjung Kupang, 81550 Gelang Patah, Johor, Malaysia</t>
  </si>
  <si>
    <t xml:space="preserve">https://www.google.com/maps?ll=1.4299367,103.5976366&amp;z=19&amp;t=k&amp;hl=en-US&amp;gl=US&amp;mapclient=apiv3</t>
  </si>
  <si>
    <t xml:space="preserve">https://www.google.com/maps/@?api=1&amp;map_action=pano&amp;viewpoint=1.4299367,103.5976366</t>
  </si>
  <si>
    <t xml:space="preserve">https://www.datacentermap.com/malaysia/johor-bahru/equinix-jh2/</t>
  </si>
  <si>
    <t xml:space="preserve">Upcoming carrier-neutral facility designed for hyperscale and private AI workloads.</t>
  </si>
  <si>
    <t xml:space="preserve">Hyperscale + private AI (liquid cooled)</t>
  </si>
  <si>
    <t xml:space="preserve">ZDATA Johor GP3</t>
  </si>
  <si>
    <t xml:space="preserve">ZDATA Technologies Co., Ltd.</t>
  </si>
  <si>
    <t xml:space="preserve">1.483202° 103.5973867°</t>
  </si>
  <si>
    <t xml:space="preserve">Jalan Bayu 4, Nusajaya Industrial Park 2, 79250 Gelang Patah, Johor, Malaysia</t>
  </si>
  <si>
    <t xml:space="preserve">https://www.google.com/maps?ll=1.483202,103.5973867&amp;z=19&amp;t=k&amp;hl=en-US&amp;gl=US&amp;mapclient=apiv3</t>
  </si>
  <si>
    <t xml:space="preserve">https://www.google.com/maps/@?api=1&amp;map_action=pano&amp;viewpoint=1.483202,103.5973867</t>
  </si>
  <si>
    <t xml:space="preserve">https://www.datacentermap.com/malaysia/johor-bahru/zdata-johor-gp3/</t>
  </si>
  <si>
    <t xml:space="preserve">Land acquired from Tropicana Firstwide Sdn Bhd for RM 240M ($55.9M). ZData's Malaysia expansion.</t>
  </si>
  <si>
    <t xml:space="preserve">38 acres (acquired for RM 240M / $55.9M)</t>
  </si>
  <si>
    <t xml:space="preserve">Empyrion Digital MY1</t>
  </si>
  <si>
    <t xml:space="preserve">Empyrion Digital</t>
  </si>
  <si>
    <t xml:space="preserve">1.445292° 103.6037419°</t>
  </si>
  <si>
    <t xml:space="preserve">i-TechValley Industrial Park, Persiaran Bioteknologi, 79200 Gelang Patah, Johor, Malaysia</t>
  </si>
  <si>
    <t xml:space="preserve">https://www.google.com/maps?ll=1.445292,103.6037419&amp;z=19&amp;t=k&amp;hl=en-US&amp;gl=US&amp;mapclient=apiv3</t>
  </si>
  <si>
    <t xml:space="preserve">https://www.google.com/maps/@?api=1&amp;map_action=pano&amp;viewpoint=1.445292,103.6037419</t>
  </si>
  <si>
    <t xml:space="preserve">https://www.datacentermap.com/malaysia/johor-bahru/empyrion-digital-my1-data-center/</t>
  </si>
  <si>
    <t xml:space="preserve">Phase 1 scheduled Sept 2026; first building live Q4 2026.</t>
  </si>
  <si>
    <t xml:space="preserve">200 MW campus (81,582 sqm land; 103,991 sqm floor); PUE 1.35</t>
  </si>
  <si>
    <t xml:space="preserve">VADS Iskandar Puteri</t>
  </si>
  <si>
    <t xml:space="preserve">1.4349479° 103.5984284°</t>
  </si>
  <si>
    <t xml:space="preserve">Lingkaran, No. 2, Jalan Teknologi Perintis 1, Taman Teknologi Nusajaya, 79250 Iskandar Puteri, Johor, Malaysia</t>
  </si>
  <si>
    <t xml:space="preserve">https://www.google.com/maps?ll=1.4349479,103.5984284&amp;z=19&amp;t=k&amp;hl=en-US&amp;gl=US&amp;mapclient=apiv3</t>
  </si>
  <si>
    <t xml:space="preserve">https://www.google.com/maps/@?api=1&amp;map_action=pano&amp;viewpoint=1.4349479,103.5984284</t>
  </si>
  <si>
    <t xml:space="preserve">https://www.datacentermap.com/malaysia/johor-bahru/vads-iskandar-puteri/</t>
  </si>
  <si>
    <t xml:space="preserve">VADS (TM subsidiary) managed data center services.</t>
  </si>
  <si>
    <t xml:space="preserve">Epoch Digital EMY1</t>
  </si>
  <si>
    <t xml:space="preserve">Epoch Digital</t>
  </si>
  <si>
    <t xml:space="preserve">1.4451298° 103.6037854°</t>
  </si>
  <si>
    <t xml:space="preserve">Nusa Cemerlang Industrial Park, 81550 Gelang Patah, Johor, Malaysia</t>
  </si>
  <si>
    <t xml:space="preserve">https://www.google.com/maps?ll=1.4451298,103.6037854&amp;z=19&amp;t=k&amp;hl=en-US&amp;gl=US&amp;mapclient=apiv3</t>
  </si>
  <si>
    <t xml:space="preserve">https://www.google.com/maps/@?api=1&amp;map_action=pano&amp;viewpoint=1.4451298,103.6037854</t>
  </si>
  <si>
    <t xml:space="preserve">https://www.datacentermap.com/malaysia/johor-bahru/epoch-digital-emy1/</t>
  </si>
  <si>
    <t xml:space="preserve">Operational target Q2 2025.</t>
  </si>
  <si>
    <t xml:space="preserve">120 MW IT (81,582 sqm land; 103,991 sqm floor); PUE 1.35</t>
  </si>
  <si>
    <t xml:space="preserve">STT Johor Campus</t>
  </si>
  <si>
    <t xml:space="preserve">https://www.datacentermap.com/malaysia/johor-bahru/stt-johor-campus/</t>
  </si>
  <si>
    <t xml:space="preserve">Power supplied through diverse substations in close proximity to the campus.</t>
  </si>
  <si>
    <t xml:space="preserve">22 acres; 120 MW IT</t>
  </si>
  <si>
    <t xml:space="preserve">BDC MY06</t>
  </si>
  <si>
    <t xml:space="preserve">17 Jalan Digital 7, Sedenak Tech Park, 81000 Kulai, Johor, Malaysia</t>
  </si>
  <si>
    <t xml:space="preserve">https://www.datacentermap.com/malaysia/johor-bahru/bdc-my06/</t>
  </si>
  <si>
    <t xml:space="preserve">Hyperscale campus in Kidex Sedenak.</t>
  </si>
  <si>
    <t xml:space="preserve">40 acres; 3 buildings; 100 MW IT</t>
  </si>
  <si>
    <t xml:space="preserve">AirTrunk JHB1</t>
  </si>
  <si>
    <t xml:space="preserve">AirTrunk</t>
  </si>
  <si>
    <t xml:space="preserve">Johor Bahru, 79200 Johor, Malaysia</t>
  </si>
  <si>
    <t xml:space="preserve">https://www.datacentermap.com/malaysia/johor-bahru/airtrunk-johor-bahru-jhb1/</t>
  </si>
  <si>
    <t xml:space="preserve">AirTrunk's first Malaysia hyperscale facility. Specific coordinates approximate.</t>
  </si>
  <si>
    <t xml:space="preserve">150+ MW (hyperscale)</t>
  </si>
  <si>
    <t xml:space="preserve">GDC Johor</t>
  </si>
  <si>
    <t xml:space="preserve">Global Data Centre (GDC)</t>
  </si>
  <si>
    <t xml:space="preserve">https://www.datacentermap.com/malaysia/johor-bahru/gdc-johor/</t>
  </si>
  <si>
    <t xml:space="preserve">AI-focused high-density design.</t>
  </si>
  <si>
    <t xml:space="preserve">21 MW; 1,000 racks; up to 10,000 GPU clusters; PUE 1.25</t>
  </si>
  <si>
    <t xml:space="preserve">Vantage Johor</t>
  </si>
  <si>
    <t xml:space="preserve">Sedenak Tech Park, Jalan Digital Utama, 82100 Kulai, Johor, Malaysia</t>
  </si>
  <si>
    <t xml:space="preserve">https://www.datacentermap.com/malaysia/johor-bahru/vantage-johor/</t>
  </si>
  <si>
    <t xml:space="preserve">Originally a Yondr development; now Vantage. Access to dark fiber connectivity and scalable utilities.</t>
  </si>
  <si>
    <t xml:space="preserve">300 MW IT critical load (at full build)</t>
  </si>
  <si>
    <t xml:space="preserve">VADS Johor Baru</t>
  </si>
  <si>
    <t xml:space="preserve">1.4605125° 103.7613064°</t>
  </si>
  <si>
    <t xml:space="preserve">Ibusawat Telekom Johor Bahru, Jalan Abdullah Ibrahim, 80672 Johor Bahru, Johor, Malaysia</t>
  </si>
  <si>
    <t xml:space="preserve">https://www.google.com/maps?ll=1.4605125,103.7613064&amp;z=19&amp;t=k&amp;hl=en-US&amp;gl=US&amp;mapclient=apiv3</t>
  </si>
  <si>
    <t xml:space="preserve">https://www.google.com/maps/@?api=1&amp;map_action=pano&amp;viewpoint=1.4605125,103.7613064</t>
  </si>
  <si>
    <t xml:space="preserve">https://www.datacentermap.com/malaysia/johor-bahru/vads-johor-baru/</t>
  </si>
  <si>
    <t xml:space="preserve">Housed within Telekom Malaysia's Ibusawat (telephone exchange) building.</t>
  </si>
  <si>
    <t xml:space="preserve">DayOne Nusajaya Tech Park Campus</t>
  </si>
  <si>
    <t xml:space="preserve">DayOne (GDS)</t>
  </si>
  <si>
    <t xml:space="preserve">1.4343363° 103.5996679°</t>
  </si>
  <si>
    <t xml:space="preserve">3, Lingkaran, Jalan Teknologi Perintis 1, Taman Teknologi Nusajaya, 79200 Iskandar Puteri, Johor, Malaysia</t>
  </si>
  <si>
    <t xml:space="preserve">https://www.google.com/maps?ll=1.4343363,103.5996679&amp;z=19&amp;t=k&amp;hl=en-US&amp;gl=US&amp;mapclient=apiv3</t>
  </si>
  <si>
    <t xml:space="preserve">https://www.google.com/maps/@?api=1&amp;map_action=pano&amp;viewpoint=1.4343363,103.5996679</t>
  </si>
  <si>
    <t xml:space="preserve">https://www.datacentermap.com/malaysia/johor-bahru/dayone-nusajaya-tech-park-campus/</t>
  </si>
  <si>
    <t xml:space="preserve">GDS's first data center in SE Asia. Operated under DayOne brand (GDS international arm).</t>
  </si>
  <si>
    <t xml:space="preserve">Phase 1: 22,500 sqm; 69.5 MW IT across NTP1/2/3</t>
  </si>
  <si>
    <t xml:space="preserve">VADS Cyberport</t>
  </si>
  <si>
    <t xml:space="preserve">Level 12-07A and 16-01, Menara MSC Cyberport, 5 Jalan Bukit Meldrum, Tanjung Puteri, 80300 Johor Bahru, Johor, Malaysia</t>
  </si>
  <si>
    <t xml:space="preserve">https://www.datacentermap.com/malaysia/johor-bahru/vads-cyberport/</t>
  </si>
  <si>
    <t xml:space="preserve">VADS managed services suite in Menara MSC Cyberport.</t>
  </si>
  <si>
    <t xml:space="preserve">AirTrunk JHB2</t>
  </si>
  <si>
    <t xml:space="preserve">https://www.datacentermap.com/malaysia/johor-bahru/airtrunk-johor-bahru-jhb2/</t>
  </si>
  <si>
    <t xml:space="preserve">AirTrunk's second Johor facility for cloud and AI workloads. Specific coordinates approximate.</t>
  </si>
  <si>
    <t xml:space="preserve">Hyperscale</t>
  </si>
  <si>
    <t xml:space="preserve">STACK Infrastructure JHB01 Campus</t>
  </si>
  <si>
    <t xml:space="preserve">STACK Infrastructure</t>
  </si>
  <si>
    <t xml:space="preserve">1.4603955° 103.5951498°</t>
  </si>
  <si>
    <t xml:space="preserve">Jalan SILC 1/5, Kawasan Perindustrian SiLC, 81550 Gelang Patah, Johor, Malaysia</t>
  </si>
  <si>
    <t xml:space="preserve">https://www.google.com/maps?ll=1.4603955,103.5951498&amp;z=19&amp;t=k&amp;hl=en-US&amp;gl=US&amp;mapclient=apiv3</t>
  </si>
  <si>
    <t xml:space="preserve">https://www.google.com/maps/@?api=1&amp;map_action=pano&amp;viewpoint=1.4603955,103.5951498</t>
  </si>
  <si>
    <t xml:space="preserve">https://www.datacentermap.com/malaysia/johor-bahru/stack-infrastructure-jhb01-campus/</t>
  </si>
  <si>
    <t xml:space="preserve">Flagship STACK campus in one of SE Asia's premier DC markets.</t>
  </si>
  <si>
    <t xml:space="preserve">10.8 hectares</t>
  </si>
  <si>
    <t xml:space="preserve">TM Iskandar Puteri Data Centre (IPDC)</t>
  </si>
  <si>
    <t xml:space="preserve">2, Lingkaran, Jalan Teknologi Perintis 1, Taman Teknologi Nusajaya, 79250 Iskandar Puteri, Johor, Malaysia</t>
  </si>
  <si>
    <t xml:space="preserve">https://www.datacentermap.com/malaysia/johor-bahru/tm-iskandar-puteri-data-centre-ipdc/</t>
  </si>
  <si>
    <t xml:space="preserve">Connected to TM International Gateway; cloud/virtualization/collaboration services.</t>
  </si>
  <si>
    <t xml:space="preserve">VADS Medini Data Centre</t>
  </si>
  <si>
    <t xml:space="preserve">Nusajaya</t>
  </si>
  <si>
    <t xml:space="preserve">1.4239° 103.6397°</t>
  </si>
  <si>
    <t xml:space="preserve">LG-007 &amp; LG-008 Seri Medini No. 7, Persiaran Ledang Heights, 81560 Nusajaya, Johor, Malaysia</t>
  </si>
  <si>
    <t xml:space="preserve">https://www.google.com/maps?ll=1.4239,103.6397&amp;z=19&amp;t=k&amp;hl=en-US&amp;gl=US&amp;mapclient=apiv3</t>
  </si>
  <si>
    <t xml:space="preserve">https://www.google.com/maps/@?api=1&amp;map_action=pano&amp;viewpoint=1.4239,103.6397</t>
  </si>
  <si>
    <t xml:space="preserve">https://www.datacentermap.com/malaysia/johor-bahru/vads-medini-data-centre/</t>
  </si>
  <si>
    <t xml:space="preserve">Medini (Iskandar) financial/commercial zone location. Coordinates approximate.</t>
  </si>
  <si>
    <t xml:space="preserve">MSFusion Sdn Bhd</t>
  </si>
  <si>
    <t xml:space="preserve">MegaSpeed</t>
  </si>
  <si>
    <t xml:space="preserve">Kota Tinggi</t>
  </si>
  <si>
    <t xml:space="preserve">1.6229348° 103.8160376°</t>
  </si>
  <si>
    <t xml:space="preserve">Bandar Cemerlang Industrial Park, 81800 Kota Tinggi, Johor, Malaysia</t>
  </si>
  <si>
    <t xml:space="preserve">https://www.google.com/maps?ll=1.6229348,103.8160376&amp;z=19&amp;t=k&amp;hl=en-US&amp;gl=US&amp;mapclient=apiv3</t>
  </si>
  <si>
    <t xml:space="preserve">https://www.google.com/maps/@?api=1&amp;map_action=pano&amp;viewpoint=1.6229348,103.8160376</t>
  </si>
  <si>
    <t xml:space="preserve">https://www.datacentermap.com/malaysia/johor-bahru/msfusion-sdn-bhd/</t>
  </si>
  <si>
    <t xml:space="preserve">MegaSpeed's Johor development in Bandar Cemerlang Industrial Park. Coordinates approximate.</t>
  </si>
  <si>
    <t xml:space="preserve">300 MW (planned)</t>
  </si>
  <si>
    <t xml:space="preserve">YTL Johor Data Center 6</t>
  </si>
  <si>
    <t xml:space="preserve">YTL Green Data Center Park, Kulai, 81000 Kulai, Johor, Malaysia</t>
  </si>
  <si>
    <t xml:space="preserve">https://www.datacentermap.com/malaysia/kulai/ytl-johor-data-center-6/</t>
  </si>
  <si>
    <t xml:space="preserve">Built-to-suit for a large multinational customer. RFS mid-2025.</t>
  </si>
  <si>
    <t xml:space="preserve">40 MW (built-to-suit for MNC)</t>
  </si>
  <si>
    <t xml:space="preserve">YTL Johor Data Center 2</t>
  </si>
  <si>
    <t xml:space="preserve">https://www.datacentermap.com/malaysia/kulai/ytl-johor-data-center-2/</t>
  </si>
  <si>
    <t xml:space="preserve">Designed for latest GPU workloads.</t>
  </si>
  <si>
    <t xml:space="preserve">YTL Johor Data Center 3</t>
  </si>
  <si>
    <t xml:space="preserve">https://www.datacentermap.com/malaysia/kulai/ytl-johor-data-center-3/</t>
  </si>
  <si>
    <t xml:space="preserve">YTL's second AI Data Center; launch planned 2025.</t>
  </si>
  <si>
    <t xml:space="preserve">Two-storey AI facility</t>
  </si>
  <si>
    <t xml:space="preserve">STACK Infrastructure JHB01B</t>
  </si>
  <si>
    <t xml:space="preserve">https://www.datacentermap.com/malaysia/johor-bahru/stack-infrastructure-jhb01b/</t>
  </si>
  <si>
    <t xml:space="preserve">Second building in STACK's JHB01 campus.</t>
  </si>
  <si>
    <t xml:space="preserve">Part of 10.8-hectare JHB01 campus</t>
  </si>
  <si>
    <t xml:space="preserve">STACK Infrastructure JHB01A</t>
  </si>
  <si>
    <t xml:space="preserve">https://www.datacentermap.com/malaysia/johor-bahru/stack-infrastructure-jhb01a/</t>
  </si>
  <si>
    <t xml:space="preserve">First building in STACK's JHB01 campus.</t>
  </si>
  <si>
    <t xml:space="preserve">K2 Sedenak Tech Park</t>
  </si>
  <si>
    <t xml:space="preserve">K2 Data Centres</t>
  </si>
  <si>
    <t xml:space="preserve">1.7058183° 103.4098012°</t>
  </si>
  <si>
    <t xml:space="preserve">PTD 31493, Jalan Digital 8, Sedenak Tech Park, 82100 Kulai, Johor, Malaysia</t>
  </si>
  <si>
    <t xml:space="preserve">https://www.google.com/maps?ll=1.7058183,103.4098012&amp;z=19&amp;t=k&amp;hl=en-US&amp;gl=US&amp;mapclient=apiv3</t>
  </si>
  <si>
    <t xml:space="preserve">https://www.google.com/maps/@?api=1&amp;map_action=pano&amp;viewpoint=1.7058183,103.4098012</t>
  </si>
  <si>
    <t xml:space="preserve">https://www.datacentermap.com/malaysia/johor-bahru/k2-sedenak-tech-park/</t>
  </si>
  <si>
    <t xml:space="preserve">K2 Data Centres' Malaysia development in Sedenak Tech Park.</t>
  </si>
  <si>
    <t xml:space="preserve">YTL Johor Data Center Park</t>
  </si>
  <si>
    <t xml:space="preserve">https://www.datacentermap.com/malaysia/kulai/ytl-johor-data-center-park/</t>
  </si>
  <si>
    <t xml:space="preserve">Master campus housing YTL DC1-6. Diverse connectivity routes to Singapore.</t>
  </si>
  <si>
    <t xml:space="preserve">Up to 600 MW development capacity</t>
  </si>
  <si>
    <t xml:space="preserve">DayOne Kempas Tech Park</t>
  </si>
  <si>
    <t xml:space="preserve">1.5430716° 103.69611°</t>
  </si>
  <si>
    <t xml:space="preserve">81330 Jalan Kempas Lama, 81300 Johor Bahru, Johor, Malaysia</t>
  </si>
  <si>
    <t xml:space="preserve">https://www.google.com/maps?ll=1.5430716,103.69611&amp;z=19&amp;t=k&amp;hl=en-US&amp;gl=US&amp;mapclient=apiv3</t>
  </si>
  <si>
    <t xml:space="preserve">https://www.google.com/maps/@?api=1&amp;map_action=pano&amp;viewpoint=1.5430716,103.69611</t>
  </si>
  <si>
    <t xml:space="preserve">https://www.datacentermap.com/malaysia/johor-bahru/dayone-kempas-tech-park/</t>
  </si>
  <si>
    <t xml:space="preserve">DayOne's second Johor campus (after Nusajaya).</t>
  </si>
  <si>
    <t xml:space="preserve">Microsoft Kulai</t>
  </si>
  <si>
    <t xml:space="preserve">Microsoft</t>
  </si>
  <si>
    <t xml:space="preserve">1.6708881° 103.5612259°</t>
  </si>
  <si>
    <t xml:space="preserve">Eco Business Park VI, 81000 Kulai, Johor, Malaysia</t>
  </si>
  <si>
    <t xml:space="preserve">https://www.google.com/maps?ll=1.6708881,103.5612259&amp;z=19&amp;t=k&amp;hl=en-US&amp;gl=US&amp;mapclient=apiv3</t>
  </si>
  <si>
    <t xml:space="preserve">https://www.google.com/maps/@?api=1&amp;map_action=pano&amp;viewpoint=1.6708881,103.5612259</t>
  </si>
  <si>
    <t xml:space="preserve">https://www.datacentermap.com/malaysia/johor-bahru/microsoft-kulai/</t>
  </si>
  <si>
    <t xml:space="preserve">Part of Microsoft's major Malaysia cloud/AI investment announced 2024.</t>
  </si>
  <si>
    <t xml:space="preserve">123-acre site</t>
  </si>
  <si>
    <t xml:space="preserve">Microsoft Nusa Cemerlang Industrial Park</t>
  </si>
  <si>
    <t xml:space="preserve">https://www.datacentermap.com/malaysia/johor-bahru/microsoft-nusa-cemerlang-industrial-park/</t>
  </si>
  <si>
    <t xml:space="preserve">Land acquisition completion targeted Q2 2027.</t>
  </si>
  <si>
    <t xml:space="preserve">Digital Edge - Johor BCIP</t>
  </si>
  <si>
    <t xml:space="preserve">Digital Edge DC</t>
  </si>
  <si>
    <t xml:space="preserve">https://www.datacentermap.com/malaysia/johor-bahru/digital-edge-johor-bcip/</t>
  </si>
  <si>
    <t xml:space="preserve">Land acquired from Crescendo Corporation. Coordinates approximate.</t>
  </si>
  <si>
    <t xml:space="preserve">49.7 acres</t>
  </si>
  <si>
    <t xml:space="preserve">Digital Halo JHB1</t>
  </si>
  <si>
    <t xml:space="preserve">Digital Halo Data Center</t>
  </si>
  <si>
    <t xml:space="preserve">Nusa Cemerlang Industrial Park, 81550 Iskandar Puteri, Johor, Malaysia</t>
  </si>
  <si>
    <t xml:space="preserve">https://www.datacentermap.com/malaysia/johor-bahru/digital-halo-jhb1/</t>
  </si>
  <si>
    <t xml:space="preserve">Planned for cloud and AI workloads.</t>
  </si>
  <si>
    <t xml:space="preserve">150 MW (energy supply agreement)</t>
  </si>
  <si>
    <t xml:space="preserve">DayOne Nusajaya Tech Park NTP2</t>
  </si>
  <si>
    <t xml:space="preserve">https://www.datacentermap.com/malaysia/johor-bahru/dayone-nusajaya-tech-park-ntp2/</t>
  </si>
  <si>
    <t xml:space="preserve">Second building in DayOne's flagship SEA campus.</t>
  </si>
  <si>
    <t xml:space="preserve">Part of NTP phase 1 (22,500 sqm / 69.5 MW total)</t>
  </si>
  <si>
    <t xml:space="preserve">DayOne Nusajaya Tech Park NTP3</t>
  </si>
  <si>
    <t xml:space="preserve">https://www.datacentermap.com/malaysia/johor-bahru/dayone-nusajaya-tech-park-ntp3/</t>
  </si>
  <si>
    <t xml:space="preserve">Third building in DayOne's flagship SEA campus.</t>
  </si>
  <si>
    <t xml:space="preserve">DayOne Nusajaya Tech Park NTP1</t>
  </si>
  <si>
    <t xml:space="preserve">https://www.datacentermap.com/malaysia/johor-bahru/dayone-nusajaya-tech-park-ntp1/</t>
  </si>
  <si>
    <t xml:space="preserve">First building in DayOne's flagship SEA campus.</t>
  </si>
  <si>
    <t xml:space="preserve">Exitra Data Center</t>
  </si>
  <si>
    <t xml:space="preserve">Exitra</t>
  </si>
  <si>
    <t xml:space="preserve">Kuala Lumpur</t>
  </si>
  <si>
    <t xml:space="preserve">WP Kuala Lumpur</t>
  </si>
  <si>
    <t xml:space="preserve">3.1378381° 101.6295545°</t>
  </si>
  <si>
    <t xml:space="preserve">No. 1, Menara LGB, Jalan Wan Kadir, Taman Tun Dr Ismail, 60000 Kuala Lumpur, Malaysia</t>
  </si>
  <si>
    <t xml:space="preserve">https://www.google.com/maps?ll=3.1378381,101.6295545&amp;z=19&amp;t=k&amp;hl=en-US&amp;gl=US&amp;mapclient=apiv3</t>
  </si>
  <si>
    <t xml:space="preserve">https://www.google.com/maps/@?api=1&amp;map_action=pano&amp;viewpoint=3.1378381,101.6295545</t>
  </si>
  <si>
    <t xml:space="preserve">https://www.datacentermap.com/malaysia/kuala-lumpur/exitra-data-center/</t>
  </si>
  <si>
    <t xml:space="preserve">Located in Menara LGB (TTDI). Full redundancy, automated monitoring.</t>
  </si>
  <si>
    <t xml:space="preserve">Tier III; N+2 power</t>
  </si>
  <si>
    <t xml:space="preserve">SAFEHOUSE Data Center</t>
  </si>
  <si>
    <t xml:space="preserve">SAFEHOUSE by i-Tech Network Solutions Sdn. Bhd.</t>
  </si>
  <si>
    <t xml:space="preserve">3.1657329° 101.6536386°</t>
  </si>
  <si>
    <t xml:space="preserve">M-1, Mezzanine Floor, Kiara II, Jalan Kiara, Mont Kiara, 50480 Kuala Lumpur, Malaysia</t>
  </si>
  <si>
    <t xml:space="preserve">https://www.google.com/maps?ll=3.1657329,101.6536386&amp;z=19&amp;t=k&amp;hl=en-US&amp;gl=US&amp;mapclient=apiv3</t>
  </si>
  <si>
    <t xml:space="preserve">https://www.google.com/maps/@?api=1&amp;map_action=pano&amp;viewpoint=3.1657329,101.6536386</t>
  </si>
  <si>
    <t xml:space="preserve">https://www.datacentermap.com/malaysia/kuala-lumpur/safehouse-data-center/</t>
  </si>
  <si>
    <t xml:space="preserve">Green data centre in Mont Kiara; located in i-Zen Kiara II mixed-use building.</t>
  </si>
  <si>
    <t xml:space="preserve">NEXTDC KL1</t>
  </si>
  <si>
    <t xml:space="preserve">NEXTDC</t>
  </si>
  <si>
    <t xml:space="preserve">Petaling Jaya</t>
  </si>
  <si>
    <t xml:space="preserve">3.0931196° 101.6299551°</t>
  </si>
  <si>
    <t xml:space="preserve">1, Jalan 51A/225, Seksyen 51A, 46100 Petaling Jaya, Selangor, Malaysia</t>
  </si>
  <si>
    <t xml:space="preserve">https://www.google.com/maps?ll=3.0931196,101.6299551&amp;z=19&amp;t=k&amp;hl=en-US&amp;gl=US&amp;mapclient=apiv3</t>
  </si>
  <si>
    <t xml:space="preserve">https://www.google.com/maps/@?api=1&amp;map_action=pano&amp;viewpoint=3.0931196,101.6299551</t>
  </si>
  <si>
    <t xml:space="preserve">https://www.datacentermap.com/malaysia/kuala-lumpur/nextdc-kl1-kuala-lumpur/</t>
  </si>
  <si>
    <t xml:space="preserve">NEXTDC's entry into Asia; first outside Australia. Direct cloud interconnectivity.</t>
  </si>
  <si>
    <t xml:space="preserve">~65 MW IT critical power (at full build)</t>
  </si>
  <si>
    <t xml:space="preserve">AIMS Kuala Lumpur</t>
  </si>
  <si>
    <t xml:space="preserve">3.1493525° 101.7060731°</t>
  </si>
  <si>
    <t xml:space="preserve">Menara AIMS, Changkat Raja Chulan, Bukit Ceylon, 50200 Kuala Lumpur, Malaysia</t>
  </si>
  <si>
    <t xml:space="preserve">https://www.google.com/maps?ll=3.1493525,101.7060731&amp;z=19&amp;t=k&amp;hl=en-US&amp;gl=US&amp;mapclient=apiv3</t>
  </si>
  <si>
    <t xml:space="preserve">https://www.google.com/maps/@?api=1&amp;map_action=pano&amp;viewpoint=3.1493525,101.7060731</t>
  </si>
  <si>
    <t xml:space="preserve">https://www.datacentermap.com/malaysia/kuala-lumpur/aims-kuala-lumpur/</t>
  </si>
  <si>
    <t xml:space="preserve">Reference site for Malaysia Internet Exchange Point (MyIX). #1 carrier-neutral DC in Malaysia. AIMS flagship.</t>
  </si>
  <si>
    <t xml:space="preserve">Most interconnected site in Malaysia</t>
  </si>
  <si>
    <t xml:space="preserve">Maxis Urban Data Centre</t>
  </si>
  <si>
    <t xml:space="preserve">Maxis Business</t>
  </si>
  <si>
    <t xml:space="preserve">Bukit Jalil</t>
  </si>
  <si>
    <t xml:space="preserve">3.0542587° 101.6972455°</t>
  </si>
  <si>
    <t xml:space="preserve">MRANTI Park 217, Jalan Teknologi 1, 57000 Bukit Jalil, Kuala Lumpur, Malaysia</t>
  </si>
  <si>
    <t xml:space="preserve">https://www.google.com/maps?ll=3.0542587,101.6972455&amp;z=19&amp;t=k&amp;hl=en-US&amp;gl=US&amp;mapclient=apiv3</t>
  </si>
  <si>
    <t xml:space="preserve">https://www.google.com/maps/@?api=1&amp;map_action=pano&amp;viewpoint=3.0542587,101.6972455</t>
  </si>
  <si>
    <t xml:space="preserve">https://www.datacentermap.com/malaysia/kuala-lumpur/maxis-urban-data-centre/</t>
  </si>
  <si>
    <t xml:space="preserve">Located within MRANTI Park (Malaysian Research Accelerator for Technology &amp; Innovation, former TPM).</t>
  </si>
  <si>
    <t xml:space="preserve">Progenet Data Center</t>
  </si>
  <si>
    <t xml:space="preserve">Progenet Innovations Sdn Bhd</t>
  </si>
  <si>
    <t xml:space="preserve">3.1305364° 101.5950706°</t>
  </si>
  <si>
    <t xml:space="preserve">Menara Lien Hoe, 8 Persiaran Tropicana, Tropicana, 47410 Petaling Jaya, Selangor, Malaysia</t>
  </si>
  <si>
    <t xml:space="preserve">https://www.google.com/maps?ll=3.1305364,101.5950706&amp;z=19&amp;t=k&amp;hl=en-US&amp;gl=US&amp;mapclient=apiv3</t>
  </si>
  <si>
    <t xml:space="preserve">https://www.google.com/maps/@?api=1&amp;map_action=pano&amp;viewpoint=3.1305364,101.5950706</t>
  </si>
  <si>
    <t xml:space="preserve">https://www.datacentermap.com/malaysia/kuala-lumpur/progenet-data-center/</t>
  </si>
  <si>
    <t xml:space="preserve">Markets itself as '1st Cloud Data Center in Malaysia'. Carrier-neutral. Menara Lien Hoe (Tropicana).</t>
  </si>
  <si>
    <t xml:space="preserve">VADS Brickfields</t>
  </si>
  <si>
    <t xml:space="preserve">Brickfields</t>
  </si>
  <si>
    <t xml:space="preserve">3.1291052° 101.6839422°</t>
  </si>
  <si>
    <t xml:space="preserve">Level 6, Bangunan Telekom Brickfields, Jalan Tun Sambathan, 50470 Kuala Lumpur, Malaysia</t>
  </si>
  <si>
    <t xml:space="preserve">https://www.google.com/maps?ll=3.1291052,101.6839422&amp;z=19&amp;t=k&amp;hl=en-US&amp;gl=US&amp;mapclient=apiv3</t>
  </si>
  <si>
    <t xml:space="preserve">https://www.google.com/maps/@?api=1&amp;map_action=pano&amp;viewpoint=3.1291052,101.6839422</t>
  </si>
  <si>
    <t xml:space="preserve">https://www.datacentermap.com/malaysia/kuala-lumpur/vads-brickfield/</t>
  </si>
  <si>
    <t xml:space="preserve">Housed in TM Brickfields exchange building. Shares building with TM Brickfields DC (BFDC).</t>
  </si>
  <si>
    <t xml:space="preserve">EdgeConneX Bukit Jalil</t>
  </si>
  <si>
    <t xml:space="preserve">3.047042° 101.6869835°</t>
  </si>
  <si>
    <t xml:space="preserve">MRANTI Technology Park, 43300 Bukit Jalil, Kuala Lumpur, Malaysia</t>
  </si>
  <si>
    <t xml:space="preserve">https://www.google.com/maps?ll=3.047042,101.6869835&amp;z=19&amp;t=k&amp;hl=en-US&amp;gl=US&amp;mapclient=apiv3</t>
  </si>
  <si>
    <t xml:space="preserve">https://www.google.com/maps/@?api=1&amp;map_action=pano&amp;viewpoint=3.047042,101.6869835</t>
  </si>
  <si>
    <t xml:space="preserve">https://www.datacentermap.com/malaysia/kuala-lumpur/edgeconnex-bukit-jalil/</t>
  </si>
  <si>
    <t xml:space="preserve">Within MRANTI Technology Park (former Technology Park Malaysia / TPM).</t>
  </si>
  <si>
    <t xml:space="preserve">YTL Sentul Data Center 1</t>
  </si>
  <si>
    <t xml:space="preserve">Sentul</t>
  </si>
  <si>
    <t xml:space="preserve">3.1819432° 101.6862383°</t>
  </si>
  <si>
    <t xml:space="preserve">PT189-PT183-PT185 Jalan Strachan, off Jalan Ipoh, 51100 Sentul, Kuala Lumpur, Malaysia</t>
  </si>
  <si>
    <t xml:space="preserve">https://www.google.com/maps?ll=3.1819432,101.6862383&amp;z=19&amp;t=k&amp;hl=en-US&amp;gl=US&amp;mapclient=apiv3</t>
  </si>
  <si>
    <t xml:space="preserve">https://www.google.com/maps/@?api=1&amp;map_action=pano&amp;viewpoint=3.1819432,101.6862383</t>
  </si>
  <si>
    <t xml:space="preserve">https://www.datacentermap.com/malaysia/kuala-lumpur/ytl-sentul-data-center-1/</t>
  </si>
  <si>
    <t xml:space="preserve">YTL's KL urban facility. Sentul location (off Jalan Ipoh).</t>
  </si>
  <si>
    <t xml:space="preserve">VADS TTDI</t>
  </si>
  <si>
    <t xml:space="preserve">3.1397754° 101.6301491°</t>
  </si>
  <si>
    <t xml:space="preserve">Plaza VADS, 1 Jalan Tun Mohd Fuad, Taman Tun Dr Ismail, 60000 Kuala Lumpur, Malaysia</t>
  </si>
  <si>
    <t xml:space="preserve">https://www.google.com/maps?ll=3.1397754,101.6301491&amp;z=19&amp;t=k&amp;hl=en-US&amp;gl=US&amp;mapclient=apiv3</t>
  </si>
  <si>
    <t xml:space="preserve">https://www.google.com/maps/@?api=1&amp;map_action=pano&amp;viewpoint=3.1397754,101.6301491</t>
  </si>
  <si>
    <t xml:space="preserve">https://www.datacentermap.com/malaysia/kuala-lumpur/vads-ttdi/</t>
  </si>
  <si>
    <t xml:space="preserve">VADS HQ building (Plaza VADS, former IBM building in TTDI, iconic 1990s blue tower).</t>
  </si>
  <si>
    <t xml:space="preserve">AIMS Kuala Lumpur 2</t>
  </si>
  <si>
    <t xml:space="preserve">Wisma AIMS KL TWO, Changkat Raja Chulan, Bukit Ceylon, 50200 Kuala Lumpur, Malaysia</t>
  </si>
  <si>
    <t xml:space="preserve">https://www.datacentermap.com/malaysia/kuala-lumpur/aims-kuala-lumpur-2/</t>
  </si>
  <si>
    <t xml:space="preserve">AIMS expansion facility adjacent to Menara AIMS in Bukit Ceylon.</t>
  </si>
  <si>
    <t xml:space="preserve">EdgeConneX Kuala Lumpur CBD</t>
  </si>
  <si>
    <t xml:space="preserve">3.1478° 101.7038°</t>
  </si>
  <si>
    <t xml:space="preserve">Kuala Lumpur CBD, Kuala Lumpur, Malaysia (exact address not disclosed)</t>
  </si>
  <si>
    <t xml:space="preserve">https://www.google.com/maps?ll=3.1478,101.7038&amp;z=19&amp;t=k&amp;hl=en-US&amp;gl=US&amp;mapclient=apiv3</t>
  </si>
  <si>
    <t xml:space="preserve">https://www.google.com/maps/@?api=1&amp;map_action=pano&amp;viewpoint=3.1478,101.7038</t>
  </si>
  <si>
    <t xml:space="preserve">https://www.datacentermap.com/malaysia/kuala-lumpur/edgeconnex-kuala-lumpur-cbd/</t>
  </si>
  <si>
    <t xml:space="preserve">Address TBA per datacentermap.com. Coordinates are KL CBD centroid, not final location.</t>
  </si>
  <si>
    <t xml:space="preserve">Shinsei Malaysia 1</t>
  </si>
  <si>
    <t xml:space="preserve">Regal Orion</t>
  </si>
  <si>
    <t xml:space="preserve">Seremban</t>
  </si>
  <si>
    <t xml:space="preserve">Negeri Sembilan</t>
  </si>
  <si>
    <t xml:space="preserve">2.704237° 101.794618°</t>
  </si>
  <si>
    <t xml:space="preserve">Techpark @ Enstek, Labu, 71760 Seremban, Negeri Sembilan, Malaysia</t>
  </si>
  <si>
    <t xml:space="preserve">https://www.google.com/maps?ll=2.704237,101.794618&amp;z=19&amp;t=k&amp;hl=en-US&amp;gl=US&amp;mapclient=apiv3</t>
  </si>
  <si>
    <t xml:space="preserve">https://www.google.com/maps/@?api=1&amp;map_action=pano&amp;viewpoint=2.704237,101.794618</t>
  </si>
  <si>
    <t xml:space="preserve">https://www.datacentermap.com/malaysia/kuala-lumpur/shinsei-malaysia-1/</t>
  </si>
  <si>
    <t xml:space="preserve">Located in Techpark @ Bandar Enstek (Labu, N. Sembilan). Grouped under KL market by datacentermap.com.</t>
  </si>
  <si>
    <t xml:space="preserve">VADS Semarak</t>
  </si>
  <si>
    <t xml:space="preserve">3.1682911° 101.7140054°</t>
  </si>
  <si>
    <t xml:space="preserve">Level 19, Menara Celcom, Jalan Semarak, 50574 Kuala Lumpur, Malaysia</t>
  </si>
  <si>
    <t xml:space="preserve">https://www.google.com/maps?ll=3.1682911,101.7140054&amp;z=19&amp;t=k&amp;hl=en-US&amp;gl=US&amp;mapclient=apiv3</t>
  </si>
  <si>
    <t xml:space="preserve">https://www.google.com/maps/@?api=1&amp;map_action=pano&amp;viewpoint=3.1682911,101.7140054</t>
  </si>
  <si>
    <t xml:space="preserve">https://www.datacentermap.com/malaysia/kuala-lumpur/vads-semarak/</t>
  </si>
  <si>
    <t xml:space="preserve">Within Menara Celcom on Jalan Semarak. Coordinates approximate to Jalan Semarak corridor.</t>
  </si>
  <si>
    <t xml:space="preserve">Strateq DC-1</t>
  </si>
  <si>
    <t xml:space="preserve">Strateq Sdn Bhd</t>
  </si>
  <si>
    <t xml:space="preserve">3.1161857° 101.6402418°</t>
  </si>
  <si>
    <t xml:space="preserve">12, Jalan 13/4, Seksyen 13, 46200 Petaling Jaya, Selangor, Malaysia</t>
  </si>
  <si>
    <t xml:space="preserve">https://www.google.com/maps?ll=3.1161857,101.6402418&amp;z=19&amp;t=k&amp;hl=en-US&amp;gl=US&amp;mapclient=apiv3</t>
  </si>
  <si>
    <t xml:space="preserve">https://www.google.com/maps/@?api=1&amp;map_action=pano&amp;viewpoint=3.1161857,101.6402418</t>
  </si>
  <si>
    <t xml:space="preserve">https://www.datacentermap.com/malaysia/kuala-lumpur/strateq-dc-1/</t>
  </si>
  <si>
    <t xml:space="preserve">Purpose-built Tier III facility.</t>
  </si>
  <si>
    <t xml:space="preserve">Tier III</t>
  </si>
  <si>
    <t xml:space="preserve">BDC MY03</t>
  </si>
  <si>
    <t xml:space="preserve">3.0457332° 101.6932199°</t>
  </si>
  <si>
    <t xml:space="preserve">11 Jalan Inovasi 3, Taman Teknologi Malaysia, 57000 Bukit Jalil, Kuala Lumpur, Malaysia</t>
  </si>
  <si>
    <t xml:space="preserve">https://www.google.com/maps?ll=3.0457332,101.6932199&amp;z=19&amp;t=k&amp;hl=en-US&amp;gl=US&amp;mapclient=apiv3</t>
  </si>
  <si>
    <t xml:space="preserve">https://www.google.com/maps/@?api=1&amp;map_action=pano&amp;viewpoint=3.0457332,101.6932199</t>
  </si>
  <si>
    <t xml:space="preserve">https://www.datacentermap.com/malaysia/kuala-lumpur/bdc-my03/</t>
  </si>
  <si>
    <t xml:space="preserve">Hyperscale facility in MRANTI Technology Park (former TPM).</t>
  </si>
  <si>
    <t xml:space="preserve">16 MW IT (across 2 phases)</t>
  </si>
  <si>
    <t xml:space="preserve">Exabytes Malaysia Data Center</t>
  </si>
  <si>
    <t xml:space="preserve">Exabytes Network Sdn Bhd</t>
  </si>
  <si>
    <t xml:space="preserve">https://www.datacentermap.com/malaysia/kuala-lumpur/exabytes-malaysia-data-center/</t>
  </si>
  <si>
    <t xml:space="preserve">Colocation tenant within Menara AIMS building.</t>
  </si>
  <si>
    <t xml:space="preserve">Google Port Dickson</t>
  </si>
  <si>
    <t xml:space="preserve">Google</t>
  </si>
  <si>
    <t xml:space="preserve">Port Dickson</t>
  </si>
  <si>
    <t xml:space="preserve">2.6069016° 101.8483549°</t>
  </si>
  <si>
    <t xml:space="preserve">Springhill Industrial Park, Persiaran Springhill, 71010 Port Dickson, Negeri Sembilan, Malaysia</t>
  </si>
  <si>
    <t xml:space="preserve">https://www.google.com/maps?ll=2.6069016,101.8483549&amp;z=19&amp;t=k&amp;hl=en-US&amp;gl=US&amp;mapclient=apiv3</t>
  </si>
  <si>
    <t xml:space="preserve">https://www.google.com/maps/@?api=1&amp;map_action=pano&amp;viewpoint=2.6069016,101.8483549</t>
  </si>
  <si>
    <t xml:space="preserve">https://www.datacentermap.com/malaysia/kuala-lumpur/google-port-dickson/</t>
  </si>
  <si>
    <t xml:space="preserve">Land acquired from Gamuda. RM 1B ($235.9M) enabling works contract (earthworks, infrastructure). Grouped under KL market by datacentermap.com.</t>
  </si>
  <si>
    <t xml:space="preserve">389 acres (RM 455.2M / $107.3M land acquisition)</t>
  </si>
  <si>
    <t xml:space="preserve">MyTelehaus Petaling Jaya</t>
  </si>
  <si>
    <t xml:space="preserve">MyTelehaus Sdn Bhd</t>
  </si>
  <si>
    <t xml:space="preserve">Jalan 13/4, Seksyen 13, 46200 Petaling Jaya, Selangor, Malaysia</t>
  </si>
  <si>
    <t xml:space="preserve">https://www.datacentermap.com/malaysia/kuala-lumpur/mytelehaus-petaling-jaya/</t>
  </si>
  <si>
    <t xml:space="preserve">JV: Lum Chang + Tien Wah build core/shell; MyTelehaus delivers M&amp;E fit-out. Same street as Strateq DC-1.</t>
  </si>
  <si>
    <t xml:space="preserve">TM Brickfields Data Centre (BFDC)</t>
  </si>
  <si>
    <t xml:space="preserve">Bangunan Telekom Brickfields, Jalan Tun Sambathan, 50470 Brickfields, Kuala Lumpur, Malaysia</t>
  </si>
  <si>
    <t xml:space="preserve">https://www.datacentermap.com/malaysia/kuala-lumpur/tm-brickfields-data-centre-bfdc/</t>
  </si>
  <si>
    <t xml:space="preserve">TM Global's KL CBD-adjacent DC. Same building houses VADS Brickfields.</t>
  </si>
  <si>
    <t xml:space="preserve">Rated-3 (Uptime Tier III equivalent)</t>
  </si>
  <si>
    <t xml:space="preserve">Amazon AWS KUL - Setul</t>
  </si>
  <si>
    <t xml:space="preserve">Amazon AWS</t>
  </si>
  <si>
    <t xml:space="preserve">Nilai</t>
  </si>
  <si>
    <t xml:space="preserve">2.8381064° 101.8135905°</t>
  </si>
  <si>
    <t xml:space="preserve">293 Jalan Laman Azalea 4/2, 71800 Nilai, Negeri Sembilan, Malaysia</t>
  </si>
  <si>
    <t xml:space="preserve">https://www.google.com/maps?ll=2.8381064,101.8135905&amp;z=19&amp;t=k&amp;hl=en-US&amp;gl=US&amp;mapclient=apiv3</t>
  </si>
  <si>
    <t xml:space="preserve">https://www.google.com/maps/@?api=1&amp;map_action=pano&amp;viewpoint=2.8381064,101.8135905</t>
  </si>
  <si>
    <t xml:space="preserve">https://www.datacentermap.com/malaysia/kuala-lumpur/amazon-aws-kul-setul/</t>
  </si>
  <si>
    <t xml:space="preserve">AWS Malaysia Region launched Aug 2024. Setul is in Nilai (Negeri Sembilan), not KL proper.</t>
  </si>
  <si>
    <t xml:space="preserve">N/A (hyperscale; proprietary)</t>
  </si>
  <si>
    <t xml:space="preserve">Amazon AWS KUL - Bukit Jalil</t>
  </si>
  <si>
    <t xml:space="preserve">Technology Park Malaysia, 47180 Bukit Jalil, Kuala Lumpur, Malaysia</t>
  </si>
  <si>
    <t xml:space="preserve">https://www.datacentermap.com/malaysia/kuala-lumpur/amazon-aws-kul-bukit-jalil/</t>
  </si>
  <si>
    <t xml:space="preserve">AWS Malaysia Region AZ. Within MRANTI Technology Park (former TPM).</t>
  </si>
  <si>
    <t xml:space="preserve">TM Kelana Jaya Data Centre (KJDC)</t>
  </si>
  <si>
    <t xml:space="preserve">3.1068117° 101.6000928°</t>
  </si>
  <si>
    <t xml:space="preserve">Infinity Tower, 28 Jalan SS6/3, SS6, 47301 Petaling Jaya, Selangor, Malaysia</t>
  </si>
  <si>
    <t xml:space="preserve">https://www.google.com/maps?ll=3.1068117,101.6000928&amp;z=19&amp;t=k&amp;hl=en-US&amp;gl=US&amp;mapclient=apiv3</t>
  </si>
  <si>
    <t xml:space="preserve">https://www.google.com/maps/@?api=1&amp;map_action=pano&amp;viewpoint=3.1068117,101.6000928</t>
  </si>
  <si>
    <t xml:space="preserve">https://www.datacentermap.com/malaysia/kuala-lumpur/tm-kelana-jaya-data-centre-kjdc/</t>
  </si>
  <si>
    <t xml:space="preserve">TM Global's first DC in PJ. Located in Infinity Tower (Kelana Jaya).</t>
  </si>
  <si>
    <t xml:space="preserve">Amazon AWS KUL - Dengkil</t>
  </si>
  <si>
    <t xml:space="preserve">2.9478307° 101.6517886°</t>
  </si>
  <si>
    <t xml:space="preserve">Maju Expressway (MEX), 63000 Dengkil, Selangor, Malaysia</t>
  </si>
  <si>
    <t xml:space="preserve">https://www.google.com/maps?ll=2.9478307,101.6517886&amp;z=19&amp;t=k&amp;hl=en-US&amp;gl=US&amp;mapclient=apiv3</t>
  </si>
  <si>
    <t xml:space="preserve">https://www.google.com/maps/@?api=1&amp;map_action=pano&amp;viewpoint=2.9478307,101.6517886</t>
  </si>
  <si>
    <t xml:space="preserve">https://www.datacentermap.com/malaysia/kuala-lumpur/amazon-aws-kul-dengkil/</t>
  </si>
  <si>
    <t xml:space="preserve">AWS Malaysia Region AZ. Dengkil (Selangor), adjacent to Cyberjaya corridor.</t>
  </si>
  <si>
    <t xml:space="preserve">Mah Sing DC Hub @ Southville City</t>
  </si>
  <si>
    <t xml:space="preserve">Bangi</t>
  </si>
  <si>
    <t xml:space="preserve">2.9030841° 101.7624552°</t>
  </si>
  <si>
    <t xml:space="preserve">Southville City, 43800 Dengkil, Bangi, Selangor, Malaysia</t>
  </si>
  <si>
    <t xml:space="preserve">https://www.google.com/maps?ll=2.9030841,101.7624552&amp;z=19&amp;t=k&amp;hl=en-US&amp;gl=US&amp;mapclient=apiv3</t>
  </si>
  <si>
    <t xml:space="preserve">https://www.google.com/maps/@?api=1&amp;map_action=pano&amp;viewpoint=2.9030841,101.7624552</t>
  </si>
  <si>
    <t xml:space="preserve">https://www.datacentermap.com/malaysia/kuala-lumpur/mah-sing-dc-hub-southville-city/</t>
  </si>
  <si>
    <t xml:space="preserve">JV: Mah Sing Group + Bridge Data Centres. Southville City is in Bangi/Dengkil area (Selangor).</t>
  </si>
  <si>
    <t xml:space="preserve">~19 km from KL city centre</t>
  </si>
  <si>
    <t xml:space="preserve">Google Elmina Business Park</t>
  </si>
  <si>
    <t xml:space="preserve">Sungai Buloh</t>
  </si>
  <si>
    <t xml:space="preserve">3.2266053° 101.5221802°</t>
  </si>
  <si>
    <t xml:space="preserve">Elmina Business Park, 40160 Sungai Buloh, Selangor, Malaysia</t>
  </si>
  <si>
    <t xml:space="preserve">https://www.google.com/maps?ll=3.2266053,101.5221802&amp;z=19&amp;t=k&amp;hl=en-US&amp;gl=US&amp;mapclient=apiv3</t>
  </si>
  <si>
    <t xml:space="preserve">https://www.google.com/maps/@?api=1&amp;map_action=pano&amp;viewpoint=3.2266053,101.5221802</t>
  </si>
  <si>
    <t xml:space="preserve">https://www.datacentermap.com/malaysia/kuala-lumpur/google-elmina-business-park/</t>
  </si>
  <si>
    <t xml:space="preserve">Google's first Malaysia DC. Part of 2024 $2B investment announcement.</t>
  </si>
  <si>
    <t xml:space="preserve">Maxis i-City Data Centre</t>
  </si>
  <si>
    <t xml:space="preserve">Shah Alam</t>
  </si>
  <si>
    <t xml:space="preserve">3.0658511° 101.4858044°</t>
  </si>
  <si>
    <t xml:space="preserve">Block M, No. 6, Persiaran Multimedia, i-City, 40000 Shah Alam, Selangor, Malaysia</t>
  </si>
  <si>
    <t xml:space="preserve">https://www.google.com/maps?ll=3.0658511,101.4858044&amp;z=19&amp;t=k&amp;hl=en-US&amp;gl=US&amp;mapclient=apiv3</t>
  </si>
  <si>
    <t xml:space="preserve">https://www.google.com/maps/@?api=1&amp;map_action=pano&amp;viewpoint=3.0658511,101.4858044</t>
  </si>
  <si>
    <t xml:space="preserve">https://www.datacentermap.com/malaysia/shah-alam/maxis-i-city-data-centre/</t>
  </si>
  <si>
    <t xml:space="preserve">First Tier III certified DC in Malaysia. Located in Block M of i-City development. Colocated with HDC, Strateq DC-2, i-City DC.</t>
  </si>
  <si>
    <t xml:space="preserve">Tier III certified (first in Malaysia)</t>
  </si>
  <si>
    <t xml:space="preserve">Basis Bay Glenmarie DC.2</t>
  </si>
  <si>
    <t xml:space="preserve">3.09065° 101.5791543°</t>
  </si>
  <si>
    <t xml:space="preserve">13 &amp; 15, Jalan Perintis U1/52, Kawasan Perindustrian Temasya, 40150 Shah Alam, Selangor, Malaysia</t>
  </si>
  <si>
    <t xml:space="preserve">https://www.google.com/maps?ll=3.09065,101.5791543&amp;z=19&amp;t=k&amp;hl=en-US&amp;gl=US&amp;mapclient=apiv3</t>
  </si>
  <si>
    <t xml:space="preserve">https://www.google.com/maps/@?api=1&amp;map_action=pano&amp;viewpoint=3.09065,101.5791543</t>
  </si>
  <si>
    <t xml:space="preserve">https://www.datacentermap.com/malaysia/shah-alam/basis-bay-glenmarie-dc-2/</t>
  </si>
  <si>
    <t xml:space="preserve">~15 minutes from KL CBD. Temasya/Glenmarie industrial park. Basis Bay registered HQ address.</t>
  </si>
  <si>
    <t xml:space="preserve">Basis Bay Glenmarie DC.1</t>
  </si>
  <si>
    <t xml:space="preserve">3.0870106° 101.5757495°</t>
  </si>
  <si>
    <t xml:space="preserve">6, Jalan Pengacara U1/48, Temasya Industrial Park (HICOM-Glenmarie), 40150 Shah Alam, Selangor, Malaysia</t>
  </si>
  <si>
    <t xml:space="preserve">https://www.google.com/maps?ll=3.0870106,101.5757495&amp;z=19&amp;t=k&amp;hl=en-US&amp;gl=US&amp;mapclient=apiv3</t>
  </si>
  <si>
    <t xml:space="preserve">https://www.google.com/maps/@?api=1&amp;map_action=pano&amp;viewpoint=3.0870106,101.5757495</t>
  </si>
  <si>
    <t xml:space="preserve">https://www.datacentermap.com/malaysia/shah-alam/basis-bay-glenmarie-dc-1/</t>
  </si>
  <si>
    <t xml:space="preserve">Separate building from DC.2 (~400m apart in same industrial estate on Jalan Pengacara U1/48 vs Jalan Perintis U1/52).</t>
  </si>
  <si>
    <t xml:space="preserve">Strateq DC-2</t>
  </si>
  <si>
    <t xml:space="preserve">M-03-03, Block M, No. 6, Persiaran Multimedia, i-City, 40000 Shah Alam, Selangor, Malaysia</t>
  </si>
  <si>
    <t xml:space="preserve">https://www.datacentermap.com/malaysia/shah-alam/strateq-dc-2/</t>
  </si>
  <si>
    <t xml:space="preserve">Tier III purpose-built. Floor M-03-03 within Block M (i-City). Colocated with Maxis, HDC, i-City DC.</t>
  </si>
  <si>
    <t xml:space="preserve">High Performance Data Centre (HDC)</t>
  </si>
  <si>
    <t xml:space="preserve">HDC Data Centre Sdn Bhd</t>
  </si>
  <si>
    <t xml:space="preserve">M-04-3A, Block M, No. 6, Persiaran Multimedia, i-City, 40000 Shah Alam, Selangor, Malaysia</t>
  </si>
  <si>
    <t xml:space="preserve">https://www.datacentermap.com/malaysia/shah-alam/high-performance-data-centre/</t>
  </si>
  <si>
    <t xml:space="preserve">Uptime Institute Tier III certified since 2012 (Malaysia's first under new certification). Floor M-04-3A within Block M (i-City).</t>
  </si>
  <si>
    <t xml:space="preserve">Tier III certified since 2012</t>
  </si>
  <si>
    <t xml:space="preserve">i-City Data Centre</t>
  </si>
  <si>
    <t xml:space="preserve">i-Berhad</t>
  </si>
  <si>
    <t xml:space="preserve">https://www.datacentermap.com/malaysia/shah-alam/i-city-data-centre/</t>
  </si>
  <si>
    <t xml:space="preserve">Anchor DC for the i-City development. Same building houses Maxis, HDC, Strateq DC-2.</t>
  </si>
  <si>
    <t xml:space="preserve">SKALI Serdang</t>
  </si>
  <si>
    <t xml:space="preserve">Serdang</t>
  </si>
  <si>
    <t xml:space="preserve">2.9939412° 101.7213466°</t>
  </si>
  <si>
    <t xml:space="preserve">Block 1, UPM-MTDC Server Farm Complex, Lebuh Silikon, Universiti Putra Malaysia, 43409 Serdang, Selangor, Malaysia</t>
  </si>
  <si>
    <t xml:space="preserve">https://www.google.com/maps?ll=2.9939412,101.7213466&amp;z=19&amp;t=k&amp;hl=en-US&amp;gl=US&amp;mapclient=apiv3</t>
  </si>
  <si>
    <t xml:space="preserve">https://www.google.com/maps/@?api=1&amp;map_action=pano&amp;viewpoint=2.9939412,101.7213466</t>
  </si>
  <si>
    <t xml:space="preserve">https://www.datacentermap.com/malaysia/selangor/skali-serdang/</t>
  </si>
  <si>
    <t xml:space="preserve">Oldest SKALI facility (operating since 2000). Located within UPM campus MTDC (Malaysian Technology Development Corporation) technology centre.</t>
  </si>
  <si>
    <t xml:space="preserve">Tier II</t>
  </si>
  <si>
    <t xml:space="preserve">BDC IOI Industrial Park @ Banting</t>
  </si>
  <si>
    <t xml:space="preserve">Banting</t>
  </si>
  <si>
    <t xml:space="preserve">2.8214523° 101.6124153°</t>
  </si>
  <si>
    <t xml:space="preserve">IOI Industrial Park @ Banting, 1 Jalan TPI 1, Taman Perindustrian, 42700 Banting, Selangor, Malaysia</t>
  </si>
  <si>
    <t xml:space="preserve">https://www.google.com/maps?ll=2.8214523,101.6124153&amp;z=19&amp;t=k&amp;hl=en-US&amp;gl=US&amp;mapclient=apiv3</t>
  </si>
  <si>
    <t xml:space="preserve">https://www.google.com/maps/@?api=1&amp;map_action=pano&amp;viewpoint=2.8214523,101.6124153</t>
  </si>
  <si>
    <t xml:space="preserve">https://www.datacentermap.com/malaysia/selangor/bdc-ioi-industrial-park-banting/</t>
  </si>
  <si>
    <t xml:space="preserve">136-acre campus development in IOI Industrial Park. Coordinates are industrial park centroid, not specific building.</t>
  </si>
  <si>
    <t xml:space="preserve">136 acres</t>
  </si>
  <si>
    <t xml:space="preserve">irix DC @ Santubong 1</t>
  </si>
  <si>
    <t xml:space="preserve">irix Sdn. Bhd.</t>
  </si>
  <si>
    <t xml:space="preserve">Kuching</t>
  </si>
  <si>
    <t xml:space="preserve">Sarawak</t>
  </si>
  <si>
    <t xml:space="preserve">1.6798534° 110.3433584°</t>
  </si>
  <si>
    <t xml:space="preserve">Lot 727, Block 3, Jalan Sultan Tengah, 93010 Kuching, Sarawak, Malaysia</t>
  </si>
  <si>
    <t xml:space="preserve">https://www.google.com/maps?ll=1.6798534,110.3433584&amp;z=19&amp;t=k&amp;hl=en-US&amp;gl=US&amp;mapclient=apiv3</t>
  </si>
  <si>
    <t xml:space="preserve">https://www.google.com/maps/@?api=1&amp;map_action=pano&amp;viewpoint=1.6798534,110.3433584</t>
  </si>
  <si>
    <t xml:space="preserve">https://www.datacentermap.com/malaysia/kuching/irix-dc-santubong-1/</t>
  </si>
  <si>
    <t xml:space="preserve">Marketed as Malaysia's first and only Tier IV designed &amp; certified data center. Santubong area near Kuching.</t>
  </si>
  <si>
    <t xml:space="preserve">Tier IV designed and certified</t>
  </si>
  <si>
    <t xml:space="preserve">MaNaDr Kuching</t>
  </si>
  <si>
    <t xml:space="preserve">MaNaDr</t>
  </si>
  <si>
    <t xml:space="preserve">Lot 728, Block 3, Jalan Sultan Tengah, 93010 Kuching, Sarawak, Malaysia</t>
  </si>
  <si>
    <t xml:space="preserve">https://www.datacentermap.com/malaysia/kuching/manadr-kuching/</t>
  </si>
  <si>
    <t xml:space="preserve">Adjacent lot to irix DC @ Santubong 1 (Lot 727 vs Lot 728, same block). AI-optimized; completion targeted end of 2027.</t>
  </si>
  <si>
    <t xml:space="preserve">25 MW (AI-optimized); 1.65 acres</t>
  </si>
  <si>
    <t xml:space="preserve">Open DC - PE1</t>
  </si>
  <si>
    <t xml:space="preserve">Bayan Baru</t>
  </si>
  <si>
    <t xml:space="preserve">5.3258533° 100.2867415°</t>
  </si>
  <si>
    <t xml:space="preserve">Lintang Mayang Pasir 3, 11950 Bayan Baru, Penang, Malaysia</t>
  </si>
  <si>
    <t xml:space="preserve">https://www.google.com/maps?ll=5.3258533,100.2867415&amp;z=19&amp;t=k&amp;hl=en-US&amp;gl=US&amp;mapclient=apiv3</t>
  </si>
  <si>
    <t xml:space="preserve">https://www.google.com/maps/@?api=1&amp;map_action=pano&amp;viewpoint=5.3258533,100.2867415</t>
  </si>
  <si>
    <t xml:space="preserve">https://www.datacentermap.com/malaysia/bayan-baru/open-dc-pe1/</t>
  </si>
  <si>
    <t xml:space="preserve">Housed in high-rise building (ISO 9001, ISO 27001). Small footprint (1,000 sq ft). Coordinates approximate to Lintang Mayang Pasir 3.</t>
  </si>
  <si>
    <t xml:space="preserve">1,000 sq ft</t>
  </si>
  <si>
    <t xml:space="preserve">VADS Bayan Baru</t>
  </si>
  <si>
    <t xml:space="preserve">5.3198096° 100.2814397°</t>
  </si>
  <si>
    <t xml:space="preserve">Penang Eastgate, Level 1, Ibusawat Telekom Bayan Baru, Jalan Tengah, 11950 Bayan Baru, Penang, Malaysia</t>
  </si>
  <si>
    <t xml:space="preserve">https://www.google.com/maps?ll=5.3198096,100.2814397&amp;z=19&amp;t=k&amp;hl=en-US&amp;gl=US&amp;mapclient=apiv3</t>
  </si>
  <si>
    <t xml:space="preserve">https://www.google.com/maps/@?api=1&amp;map_action=pano&amp;viewpoint=5.3198096,100.2814397</t>
  </si>
  <si>
    <t xml:space="preserve">https://www.datacentermap.com/malaysia/bayan-baru/vads-bayan-baru/</t>
  </si>
  <si>
    <t xml:space="preserve">Within TM Ibusawat (exchange) building at Penang Eastgate. Standard VADS managed services pattern.</t>
  </si>
  <si>
    <t xml:space="preserve">MaNaDr Bintulu</t>
  </si>
  <si>
    <t xml:space="preserve">Bintulu</t>
  </si>
  <si>
    <t xml:space="preserve">3.1738542° 113.0428485°</t>
  </si>
  <si>
    <t xml:space="preserve">Bintulu, 97000 Bintulu, Sarawak, Malaysia</t>
  </si>
  <si>
    <t xml:space="preserve">https://www.google.com/maps?ll=3.1738542,113.0428485&amp;z=19&amp;t=k&amp;hl=en-US&amp;gl=US&amp;mapclient=apiv3</t>
  </si>
  <si>
    <t xml:space="preserve">https://www.google.com/maps/@?api=1&amp;map_action=pano&amp;viewpoint=3.1738542,113.0428485</t>
  </si>
  <si>
    <t xml:space="preserve">https://www.datacentermap.com/malaysia/bintulu/manadr-bintulu/</t>
  </si>
  <si>
    <t xml:space="preserve">Part of MaNaDr's AI-driven digital infrastructure expansion. No specific site address published — coordinates are Bintulu town centroid.</t>
  </si>
  <si>
    <t xml:space="preserve">150 MW (AI-optimized, planned by 2028)</t>
  </si>
  <si>
    <t xml:space="preserve">Open DC - D8-1</t>
  </si>
  <si>
    <t xml:space="preserve">Bukit Kayu Hitam</t>
  </si>
  <si>
    <t xml:space="preserve">Kedah</t>
  </si>
  <si>
    <t xml:space="preserve">6.5051441° 100.4252326°</t>
  </si>
  <si>
    <t xml:space="preserve">Delapan Special Border Economic Zone (SBEZ), 08300 Bukit Kayu Hitam, Kedah, Malaysia</t>
  </si>
  <si>
    <t xml:space="preserve">https://www.google.com/maps?ll=6.5051441,100.4252326&amp;z=19&amp;t=k&amp;hl=en-US&amp;gl=US&amp;mapclient=apiv3</t>
  </si>
  <si>
    <t xml:space="preserve">https://www.google.com/maps/@?api=1&amp;map_action=pano&amp;viewpoint=6.5051441,100.4252326</t>
  </si>
  <si>
    <t xml:space="preserve">https://www.datacentermap.com/malaysia/bukit-kayu-hitam/open-dc-d8-1/</t>
  </si>
  <si>
    <t xml:space="preserve">Located in Delapan SBEZ near Thai border. Key selling point: proximity to 16 submarine cable landing stations.</t>
  </si>
  <si>
    <t xml:space="preserve">16 submarine cable systems at nearby landing stations within 120km</t>
  </si>
  <si>
    <t xml:space="preserve">Teliti Datacentre</t>
  </si>
  <si>
    <t xml:space="preserve">Teliti Datacentres</t>
  </si>
  <si>
    <t xml:space="preserve">Bandar Enstek</t>
  </si>
  <si>
    <t xml:space="preserve">2.729879° 101.765896°</t>
  </si>
  <si>
    <t xml:space="preserve">Techpark @ Enstek, Lot No. PT29470 &amp; PT29471, 71760 Bandar Enstek, Negeri Sembilan, Malaysia</t>
  </si>
  <si>
    <t xml:space="preserve">https://www.google.com/maps?ll=2.729879,101.765896&amp;z=19&amp;t=k&amp;hl=en-US&amp;gl=US&amp;mapclient=apiv3</t>
  </si>
  <si>
    <t xml:space="preserve">https://www.google.com/maps/@?api=1&amp;map_action=pano&amp;viewpoint=2.729879,101.765896</t>
  </si>
  <si>
    <t xml:space="preserve">https://www.datacentermap.com/malaysia/mukim-labu/teliti-datacentre/</t>
  </si>
  <si>
    <t xml:space="preserve">Mukim Labu is the land administrative unit for Techpark @ Enstek. Same tech park as Shinsei Malaysia 1 (grouped under KL market). Eco-friendly design focus.</t>
  </si>
  <si>
    <t xml:space="preserve">Solar + rainwater harvesting (eco-focus)</t>
  </si>
  <si>
    <t xml:space="preserve">VADS Ipoh</t>
  </si>
  <si>
    <t xml:space="preserve">Ipoh</t>
  </si>
  <si>
    <t xml:space="preserve">4.5970662° 101.0832539°</t>
  </si>
  <si>
    <t xml:space="preserve">Level 5, Ibusawat Telekom Ipoh, Jalan Datuk Onn Jaafar, 30300 Ipoh, Perak, Malaysia</t>
  </si>
  <si>
    <t xml:space="preserve">https://www.google.com/maps?ll=4.5970662,101.0832539&amp;z=19&amp;t=k&amp;hl=en-US&amp;gl=US&amp;mapclient=apiv3</t>
  </si>
  <si>
    <t xml:space="preserve">https://www.google.com/maps/@?api=1&amp;map_action=pano&amp;viewpoint=4.5970662,101.0832539</t>
  </si>
  <si>
    <t xml:space="preserve">https://www.datacentermap.com/malaysia/ipoh/vads-ipoh/</t>
  </si>
  <si>
    <t xml:space="preserve">Within TM Ibusawat (exchange) building. Standard VADS pattern (same as Bayan Baru, Labuan, Brickfields).</t>
  </si>
  <si>
    <t xml:space="preserve">Area Group - Delapan SBEZ Campus</t>
  </si>
  <si>
    <t xml:space="preserve">Area Group</t>
  </si>
  <si>
    <t xml:space="preserve">6.5058846° 100.4250382°</t>
  </si>
  <si>
    <t xml:space="preserve">Delapan Special Border Economic Zone (SBEZ), 06050 Bukit Kayu Hitam, Kedah, Malaysia</t>
  </si>
  <si>
    <t xml:space="preserve">https://www.google.com/maps?ll=6.5058846,100.4250382&amp;z=19&amp;t=k&amp;hl=en-US&amp;gl=US&amp;mapclient=apiv3</t>
  </si>
  <si>
    <t xml:space="preserve">https://www.google.com/maps/@?api=1&amp;map_action=pano&amp;viewpoint=6.5058846,100.4250382</t>
  </si>
  <si>
    <t xml:space="preserve">https://www.datacentermap.com/malaysia/alor-setar/area-group-delapan-sbez-campus/</t>
  </si>
  <si>
    <t xml:space="preserve">Tagged to 'Alor Setar' market by datacentermap.com but physically in Bukit Kayu Hitam (Delapan SBEZ, near Thai border) — same SBEZ as Open DC - D8-1. Groundbreaking Jan 2023.</t>
  </si>
  <si>
    <t xml:space="preserve">156 acres</t>
  </si>
  <si>
    <t xml:space="preserve">VADS Labuan</t>
  </si>
  <si>
    <t xml:space="preserve">Labuan</t>
  </si>
  <si>
    <t xml:space="preserve">WP Labuan</t>
  </si>
  <si>
    <t xml:space="preserve">5.2863932° 115.2511828°</t>
  </si>
  <si>
    <t xml:space="preserve">Level 2, Ibusawat Telekom Kampung Jawa, 87000 WP Labuan, Malaysia</t>
  </si>
  <si>
    <t xml:space="preserve">https://www.google.com/maps?ll=5.2863932,115.2511828&amp;z=19&amp;t=k&amp;hl=en-US&amp;gl=US&amp;mapclient=apiv3</t>
  </si>
  <si>
    <t xml:space="preserve">https://www.google.com/maps/@?api=1&amp;map_action=pano&amp;viewpoint=5.2863932,115.2511828</t>
  </si>
  <si>
    <t xml:space="preserve">https://www.datacentermap.com/malaysia/labuan/vads-labuan/</t>
  </si>
  <si>
    <t xml:space="preserve">Within TM Ibusawat (exchange) building in Kampung Jawa. Standard VADS pattern. Supports Labuan offshore financial centre operations.</t>
  </si>
  <si>
    <t xml:space="preserve">Market</t>
  </si>
  <si>
    <t xml:space="preserve">State / Territory</t>
  </si>
  <si>
    <t xml:space="preserve">Facility Count</t>
  </si>
  <si>
    <t xml:space="preserve">% of Malaysia Total</t>
  </si>
  <si>
    <t xml:space="preserve">George Town</t>
  </si>
  <si>
    <t xml:space="preserve">Mukim Labu</t>
  </si>
  <si>
    <t xml:space="preserve">Alor Setar</t>
  </si>
  <si>
    <t xml:space="preserve">TOTAL</t>
  </si>
  <si>
    <t xml:space="preserve">Malaysia Data Center Database — Workflow Notes</t>
  </si>
  <si>
    <t xml:space="preserve">Source: datacentermap.com (updated snapshot: 44 Johor Bahru, 37 Cyberjaya).</t>
  </si>
  <si>
    <t xml:space="preserve">Note: JB/CJ counts on datacentermap.com increased from the original scaffold (37/30)</t>
  </si>
  <si>
    <t xml:space="preserve">  — the site has been updated since the first snapshot.</t>
  </si>
  <si>
    <t xml:space="preserve">Schema: Matches existing Database sheet + 'Status' column (col E).</t>
  </si>
  <si>
    <t xml:space="preserve">Status values: Built / Under Construction / Planned</t>
  </si>
  <si>
    <t xml:space="preserve">Color coding in Status column: green = Built, yellow = UC, orange = Planned.</t>
  </si>
  <si>
    <t xml:space="preserve">Populated markets: ALL 15 (119/119 facilities)</t>
  </si>
  <si>
    <t xml:space="preserve">  • Johor Bahru (44/44)</t>
  </si>
  <si>
    <t xml:space="preserve">  • Cyberjaya (37/37)</t>
  </si>
  <si>
    <t xml:space="preserve">  • Kuala Lumpur (26/26) — 11 facilities physically outside WP KL (Petaling Jaya,</t>
  </si>
  <si>
    <t xml:space="preserve">    Bukit Jalil, Sentul, Port Dickson, Sungai Buloh, Dengkil, Nilai, Bangi, Seremban).</t>
  </si>
  <si>
    <t xml:space="preserve">    Tagged to KL market by datacentermap.com because they serve the Klang Valley.</t>
  </si>
  <si>
    <t xml:space="preserve">    State column reflects actual state, not the market tag.</t>
  </si>
  <si>
    <t xml:space="preserve">  • Shah Alam (6/6) — 4 of 6 colocated in Block M, No. 6 Persiaran Multimedia (i-City).</t>
  </si>
  <si>
    <t xml:space="preserve">  • George Town (1/1) — actually in Bayan Lepas (same Penang Island, south of George Town).</t>
  </si>
  <si>
    <t xml:space="preserve">  • Bagan Datuk (1/1), Selangor (2/2), Kuching (2/2), Bayan Baru (2/2), Bintulu (1/1),</t>
  </si>
  <si>
    <t xml:space="preserve">    Bukit Kayu Hitam (1/1), Mukim Labu (1/1), Ipoh (1/1), Alor Setar (1/1), Labuan (1/1).</t>
  </si>
  <si>
    <t xml:space="preserve">Special market-tag reconciliation (facility not physically in its tagged market):</t>
  </si>
  <si>
    <t xml:space="preserve">  • Alor Setar: The single listing 'Area Group - Delapan SBEZ Campus' is physically</t>
  </si>
  <si>
    <t xml:space="preserve">    in Bukit Kayu Hitam (06050, Delapan SBEZ) — same economic zone as Open DC - D8-1.</t>
  </si>
  <si>
    <t xml:space="preserve">    City column reflects actual location; market banner stays Alor Setar per DCMap tag.</t>
  </si>
  <si>
    <t xml:space="preserve">  • George Town: 'Open DC - PE2' is in Bayan Lepas (Phase 4 Industrial Park).</t>
  </si>
  <si>
    <t xml:space="preserve">  • Kuala Lumpur: see above — 11 of 26 outside WP KL.</t>
  </si>
  <si>
    <t xml:space="preserve">Data quality flags:</t>
  </si>
  <si>
    <t xml:space="preserve">  • datacentermap.com has errors on NTT GDC Cyberjaya 2 (lists Jakarta address)</t>
  </si>
  <si>
    <t xml:space="preserve">    and NTT GDC Cyberjaya 3 (lists Bekasi/Cikarang address). Both corrected in</t>
  </si>
  <si>
    <t xml:space="preserve">    the Notes column; coordinates point to NTT's actual Cyberjaya building.</t>
  </si>
  <si>
    <t xml:space="preserve">  • Several DayOne / Vantage / STACK facilities share campus coordinates since</t>
  </si>
  <si>
    <t xml:space="preserve">    they are separate buildings on the same site.</t>
  </si>
  <si>
    <t xml:space="preserve">  • YTL's DC1-6 all carry the same YTL Green Data Center Park coordinates.</t>
  </si>
  <si>
    <t xml:space="preserve">  • Microsoft Nusa Cemerlang land acquisition target is Q2 2027 — coordinates</t>
  </si>
  <si>
    <t xml:space="preserve">    are industrial-park centroid, not a final building location.</t>
  </si>
  <si>
    <t xml:space="preserve">Land Transformation classification: Deferred pending Malaysia-specific typology.</t>
  </si>
  <si>
    <t xml:space="preserve">  Malaysia land-use categories differ from US — consider separate codes for:</t>
  </si>
  <si>
    <t xml:space="preserve">    • Tech park (MSC-designated) — e.g., Cyberjaya, Sedenak Tech Park</t>
  </si>
  <si>
    <t xml:space="preserve">    • Industrial park (non-MSC) — e.g., SILC, Nusa Cemerlang, Iskandar Halal Park</t>
  </si>
  <si>
    <t xml:space="preserve">    • Kampung (village) conversion</t>
  </si>
  <si>
    <t xml:space="preserve">    • Oil palm / rubber plantation conversion</t>
  </si>
  <si>
    <t xml:space="preserve">    • Padi (rice paddy) conversion</t>
  </si>
  <si>
    <t xml:space="preserve">    • Urban infill (e.g., CBD JB, KL city)</t>
  </si>
  <si>
    <t xml:space="preserve">Key Malaysia OSINT sources:</t>
  </si>
  <si>
    <t xml:space="preserve">  • MDEC, MIDA, Bursa Malaysia filings (YTL Power, TIME dotCom)</t>
  </si>
  <si>
    <t xml:space="preserve">  • The Edge Malaysia, The Star, Malay Mail DC coverage</t>
  </si>
  <si>
    <t xml:space="preserve">  • datacenters.com, DCD, DatacenterHawk, Baxtel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</si>
</sst>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.25"/>
    <col collapsed="false" customWidth="true" hidden="false" outlineLevel="0" max="2" min="2" style="0" width="36.5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45.5"/>
    <col collapsed="false" customWidth="true" hidden="false" outlineLevel="0" max="8" min="8" style="0" width="30"/>
    <col collapsed="false" customWidth="true" hidden="false" outlineLevel="0" max="9" min="9" style="0" width="50.88"/>
    <col collapsed="false" customWidth="true" hidden="false" outlineLevel="0" max="10" min="10" style="0" width="42.75"/>
    <col collapsed="false" customWidth="true" hidden="false" outlineLevel="0" max="11" min="11" style="0" width="12.25"/>
    <col collapsed="false" customWidth="true" hidden="false" outlineLevel="0" max="12" min="12" style="0" width="38.38"/>
    <col collapsed="false" customWidth="true" hidden="false" outlineLevel="0" max="13" min="13" style="0" width="16"/>
    <col collapsed="false" customWidth="true" hidden="false" outlineLevel="0" max="14" min="14" style="0" width="55"/>
    <col collapsed="false" customWidth="true" hidden="false" outlineLevel="0" max="15" min="15" style="0" width="28"/>
    <col collapsed="false" customWidth="true" hidden="false" outlineLevel="0" max="16" min="16" style="0" width="80"/>
    <col collapsed="false" customWidth="true" hidden="false" outlineLevel="0" max="17" min="17" style="0" width="3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39.5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3" t="s">
        <v>21</v>
      </c>
      <c r="F2" s="2"/>
      <c r="G2" s="2"/>
      <c r="H2" s="2" t="s">
        <v>22</v>
      </c>
      <c r="I2" s="2" t="s">
        <v>23</v>
      </c>
      <c r="J2" s="2" t="s">
        <v>24</v>
      </c>
      <c r="K2" s="2"/>
      <c r="L2" s="2" t="s">
        <v>25</v>
      </c>
      <c r="M2" s="2"/>
      <c r="N2" s="2" t="s">
        <v>26</v>
      </c>
      <c r="O2" s="2"/>
      <c r="P2" s="2" t="s">
        <v>27</v>
      </c>
      <c r="Q2" s="2" t="s">
        <v>28</v>
      </c>
    </row>
    <row r="3" customFormat="false" ht="39.55" hidden="false" customHeight="false" outlineLevel="0" collapsed="false">
      <c r="A3" s="2" t="s">
        <v>29</v>
      </c>
      <c r="B3" s="2" t="s">
        <v>30</v>
      </c>
      <c r="C3" s="2" t="s">
        <v>31</v>
      </c>
      <c r="D3" s="2" t="s">
        <v>32</v>
      </c>
      <c r="E3" s="4" t="s">
        <v>33</v>
      </c>
      <c r="F3" s="2"/>
      <c r="G3" s="2"/>
      <c r="H3" s="2" t="s">
        <v>34</v>
      </c>
      <c r="I3" s="2" t="s">
        <v>35</v>
      </c>
      <c r="J3" s="2" t="s">
        <v>36</v>
      </c>
      <c r="K3" s="2"/>
      <c r="L3" s="2" t="s">
        <v>37</v>
      </c>
      <c r="M3" s="2"/>
      <c r="N3" s="2" t="s">
        <v>38</v>
      </c>
      <c r="O3" s="2"/>
      <c r="P3" s="2" t="s">
        <v>39</v>
      </c>
      <c r="Q3" s="2" t="s">
        <v>40</v>
      </c>
    </row>
    <row r="4" customFormat="false" ht="39.55" hidden="false" customHeight="false" outlineLevel="0" collapsed="false">
      <c r="A4" s="2" t="s">
        <v>41</v>
      </c>
      <c r="B4" s="2" t="s">
        <v>42</v>
      </c>
      <c r="C4" s="2" t="s">
        <v>43</v>
      </c>
      <c r="D4" s="2" t="s">
        <v>44</v>
      </c>
      <c r="E4" s="5" t="s">
        <v>45</v>
      </c>
      <c r="F4" s="2"/>
      <c r="G4" s="2"/>
      <c r="H4" s="2" t="s">
        <v>46</v>
      </c>
      <c r="I4" s="2" t="s">
        <v>47</v>
      </c>
      <c r="J4" s="2" t="s">
        <v>48</v>
      </c>
      <c r="K4" s="2"/>
      <c r="L4" s="2" t="s">
        <v>49</v>
      </c>
      <c r="M4" s="2"/>
      <c r="N4" s="2" t="s">
        <v>50</v>
      </c>
      <c r="O4" s="2"/>
      <c r="P4" s="2" t="s">
        <v>51</v>
      </c>
      <c r="Q4" s="2"/>
    </row>
    <row r="5" customFormat="false" ht="39.55" hidden="false" customHeight="false" outlineLevel="0" collapsed="false">
      <c r="A5" s="6" t="s">
        <v>52</v>
      </c>
      <c r="B5" s="6" t="s">
        <v>42</v>
      </c>
      <c r="C5" s="6" t="s">
        <v>43</v>
      </c>
      <c r="D5" s="6" t="s">
        <v>44</v>
      </c>
      <c r="E5" s="5" t="s">
        <v>45</v>
      </c>
      <c r="F5" s="6"/>
      <c r="G5" s="6"/>
      <c r="H5" s="6" t="s">
        <v>53</v>
      </c>
      <c r="I5" s="6" t="s">
        <v>54</v>
      </c>
      <c r="J5" s="6" t="s">
        <v>55</v>
      </c>
      <c r="K5" s="6"/>
      <c r="L5" s="6" t="s">
        <v>56</v>
      </c>
      <c r="M5" s="6"/>
      <c r="N5" s="6" t="s">
        <v>57</v>
      </c>
      <c r="O5" s="6"/>
      <c r="P5" s="6" t="s">
        <v>58</v>
      </c>
      <c r="Q5" s="6" t="s">
        <v>59</v>
      </c>
    </row>
    <row r="6" customFormat="false" ht="39.55" hidden="false" customHeight="false" outlineLevel="0" collapsed="false">
      <c r="A6" s="2" t="s">
        <v>60</v>
      </c>
      <c r="B6" s="2" t="s">
        <v>42</v>
      </c>
      <c r="C6" s="2" t="s">
        <v>43</v>
      </c>
      <c r="D6" s="2" t="s">
        <v>44</v>
      </c>
      <c r="E6" s="5" t="s">
        <v>45</v>
      </c>
      <c r="F6" s="2"/>
      <c r="G6" s="2"/>
      <c r="H6" s="2" t="s">
        <v>53</v>
      </c>
      <c r="I6" s="2" t="s">
        <v>54</v>
      </c>
      <c r="J6" s="2" t="s">
        <v>55</v>
      </c>
      <c r="K6" s="2"/>
      <c r="L6" s="2" t="s">
        <v>56</v>
      </c>
      <c r="M6" s="2"/>
      <c r="N6" s="2" t="s">
        <v>61</v>
      </c>
      <c r="O6" s="2"/>
      <c r="P6" s="2" t="s">
        <v>62</v>
      </c>
      <c r="Q6" s="2" t="s">
        <v>59</v>
      </c>
    </row>
    <row r="7" customFormat="false" ht="39.55" hidden="false" customHeight="false" outlineLevel="0" collapsed="false">
      <c r="A7" s="6" t="s">
        <v>63</v>
      </c>
      <c r="B7" s="6" t="s">
        <v>64</v>
      </c>
      <c r="C7" s="6" t="s">
        <v>43</v>
      </c>
      <c r="D7" s="6" t="s">
        <v>44</v>
      </c>
      <c r="E7" s="5" t="s">
        <v>45</v>
      </c>
      <c r="F7" s="6"/>
      <c r="G7" s="6"/>
      <c r="H7" s="6" t="s">
        <v>65</v>
      </c>
      <c r="I7" s="6" t="s">
        <v>66</v>
      </c>
      <c r="J7" s="6" t="s">
        <v>67</v>
      </c>
      <c r="K7" s="6"/>
      <c r="L7" s="6" t="s">
        <v>68</v>
      </c>
      <c r="M7" s="6"/>
      <c r="N7" s="6" t="s">
        <v>69</v>
      </c>
      <c r="O7" s="6"/>
      <c r="P7" s="6" t="s">
        <v>70</v>
      </c>
      <c r="Q7" s="6"/>
    </row>
    <row r="8" customFormat="false" ht="39.55" hidden="false" customHeight="false" outlineLevel="0" collapsed="false">
      <c r="A8" s="2" t="s">
        <v>71</v>
      </c>
      <c r="B8" s="2" t="s">
        <v>42</v>
      </c>
      <c r="C8" s="2" t="s">
        <v>43</v>
      </c>
      <c r="D8" s="2" t="s">
        <v>44</v>
      </c>
      <c r="E8" s="5" t="s">
        <v>45</v>
      </c>
      <c r="F8" s="2" t="n">
        <v>2012</v>
      </c>
      <c r="G8" s="2"/>
      <c r="H8" s="2" t="s">
        <v>46</v>
      </c>
      <c r="I8" s="2" t="s">
        <v>72</v>
      </c>
      <c r="J8" s="2" t="s">
        <v>48</v>
      </c>
      <c r="K8" s="2"/>
      <c r="L8" s="2" t="s">
        <v>49</v>
      </c>
      <c r="M8" s="2"/>
      <c r="N8" s="2" t="s">
        <v>73</v>
      </c>
      <c r="O8" s="2"/>
      <c r="P8" s="2" t="s">
        <v>74</v>
      </c>
      <c r="Q8" s="2"/>
    </row>
    <row r="9" customFormat="false" ht="39.55" hidden="false" customHeight="false" outlineLevel="0" collapsed="false">
      <c r="A9" s="6" t="s">
        <v>75</v>
      </c>
      <c r="B9" s="6" t="s">
        <v>76</v>
      </c>
      <c r="C9" s="6" t="s">
        <v>43</v>
      </c>
      <c r="D9" s="6" t="s">
        <v>44</v>
      </c>
      <c r="E9" s="5" t="s">
        <v>45</v>
      </c>
      <c r="F9" s="6"/>
      <c r="G9" s="6"/>
      <c r="H9" s="6" t="s">
        <v>77</v>
      </c>
      <c r="I9" s="6" t="s">
        <v>78</v>
      </c>
      <c r="J9" s="6" t="s">
        <v>79</v>
      </c>
      <c r="K9" s="6"/>
      <c r="L9" s="6" t="s">
        <v>80</v>
      </c>
      <c r="M9" s="6"/>
      <c r="N9" s="6" t="s">
        <v>81</v>
      </c>
      <c r="O9" s="6"/>
      <c r="P9" s="6" t="s">
        <v>82</v>
      </c>
      <c r="Q9" s="6" t="s">
        <v>83</v>
      </c>
    </row>
    <row r="10" customFormat="false" ht="39.55" hidden="false" customHeight="false" outlineLevel="0" collapsed="false">
      <c r="A10" s="2" t="s">
        <v>84</v>
      </c>
      <c r="B10" s="2" t="s">
        <v>85</v>
      </c>
      <c r="C10" s="2" t="s">
        <v>43</v>
      </c>
      <c r="D10" s="2" t="s">
        <v>44</v>
      </c>
      <c r="E10" s="3" t="s">
        <v>21</v>
      </c>
      <c r="F10" s="2"/>
      <c r="G10" s="2"/>
      <c r="H10" s="2" t="s">
        <v>86</v>
      </c>
      <c r="I10" s="2" t="s">
        <v>87</v>
      </c>
      <c r="J10" s="2" t="s">
        <v>88</v>
      </c>
      <c r="K10" s="2"/>
      <c r="L10" s="2" t="s">
        <v>89</v>
      </c>
      <c r="M10" s="2"/>
      <c r="N10" s="2" t="s">
        <v>90</v>
      </c>
      <c r="O10" s="2"/>
      <c r="P10" s="2" t="s">
        <v>91</v>
      </c>
      <c r="Q10" s="2" t="s">
        <v>92</v>
      </c>
    </row>
    <row r="11" customFormat="false" ht="39.55" hidden="false" customHeight="false" outlineLevel="0" collapsed="false">
      <c r="A11" s="6" t="s">
        <v>93</v>
      </c>
      <c r="B11" s="6" t="s">
        <v>94</v>
      </c>
      <c r="C11" s="6" t="s">
        <v>43</v>
      </c>
      <c r="D11" s="6" t="s">
        <v>44</v>
      </c>
      <c r="E11" s="5" t="s">
        <v>45</v>
      </c>
      <c r="F11" s="6"/>
      <c r="G11" s="6"/>
      <c r="H11" s="6" t="s">
        <v>95</v>
      </c>
      <c r="I11" s="6" t="s">
        <v>96</v>
      </c>
      <c r="J11" s="6" t="s">
        <v>97</v>
      </c>
      <c r="K11" s="6"/>
      <c r="L11" s="6" t="s">
        <v>98</v>
      </c>
      <c r="M11" s="6"/>
      <c r="N11" s="6" t="s">
        <v>99</v>
      </c>
      <c r="O11" s="6"/>
      <c r="P11" s="6" t="s">
        <v>100</v>
      </c>
      <c r="Q11" s="6"/>
    </row>
    <row r="12" customFormat="false" ht="39.55" hidden="false" customHeight="false" outlineLevel="0" collapsed="false">
      <c r="A12" s="2" t="s">
        <v>101</v>
      </c>
      <c r="B12" s="2" t="s">
        <v>102</v>
      </c>
      <c r="C12" s="2" t="s">
        <v>43</v>
      </c>
      <c r="D12" s="2" t="s">
        <v>44</v>
      </c>
      <c r="E12" s="5" t="s">
        <v>45</v>
      </c>
      <c r="F12" s="2"/>
      <c r="G12" s="2"/>
      <c r="H12" s="2" t="s">
        <v>77</v>
      </c>
      <c r="I12" s="2" t="s">
        <v>103</v>
      </c>
      <c r="J12" s="2" t="s">
        <v>79</v>
      </c>
      <c r="K12" s="2"/>
      <c r="L12" s="2" t="s">
        <v>80</v>
      </c>
      <c r="M12" s="2"/>
      <c r="N12" s="2" t="s">
        <v>104</v>
      </c>
      <c r="O12" s="2"/>
      <c r="P12" s="2" t="s">
        <v>105</v>
      </c>
      <c r="Q12" s="2"/>
    </row>
    <row r="13" customFormat="false" ht="39.55" hidden="false" customHeight="false" outlineLevel="0" collapsed="false">
      <c r="A13" s="6" t="s">
        <v>106</v>
      </c>
      <c r="B13" s="6" t="s">
        <v>107</v>
      </c>
      <c r="C13" s="6" t="s">
        <v>43</v>
      </c>
      <c r="D13" s="6" t="s">
        <v>44</v>
      </c>
      <c r="E13" s="5" t="s">
        <v>45</v>
      </c>
      <c r="F13" s="6"/>
      <c r="G13" s="6"/>
      <c r="H13" s="6" t="s">
        <v>108</v>
      </c>
      <c r="I13" s="6" t="s">
        <v>109</v>
      </c>
      <c r="J13" s="6" t="s">
        <v>110</v>
      </c>
      <c r="K13" s="6"/>
      <c r="L13" s="6" t="s">
        <v>111</v>
      </c>
      <c r="M13" s="6"/>
      <c r="N13" s="6" t="s">
        <v>112</v>
      </c>
      <c r="O13" s="6"/>
      <c r="P13" s="6" t="s">
        <v>113</v>
      </c>
      <c r="Q13" s="6"/>
    </row>
    <row r="14" customFormat="false" ht="39.55" hidden="false" customHeight="false" outlineLevel="0" collapsed="false">
      <c r="A14" s="2" t="s">
        <v>114</v>
      </c>
      <c r="B14" s="2" t="s">
        <v>115</v>
      </c>
      <c r="C14" s="2" t="s">
        <v>43</v>
      </c>
      <c r="D14" s="2" t="s">
        <v>44</v>
      </c>
      <c r="E14" s="5" t="s">
        <v>45</v>
      </c>
      <c r="F14" s="2"/>
      <c r="G14" s="2"/>
      <c r="H14" s="2" t="s">
        <v>116</v>
      </c>
      <c r="I14" s="2" t="s">
        <v>117</v>
      </c>
      <c r="J14" s="2" t="s">
        <v>118</v>
      </c>
      <c r="K14" s="2"/>
      <c r="L14" s="2" t="s">
        <v>119</v>
      </c>
      <c r="M14" s="2"/>
      <c r="N14" s="2" t="s">
        <v>120</v>
      </c>
      <c r="O14" s="2"/>
      <c r="P14" s="2" t="s">
        <v>121</v>
      </c>
      <c r="Q14" s="2"/>
    </row>
    <row r="15" customFormat="false" ht="39.55" hidden="false" customHeight="false" outlineLevel="0" collapsed="false">
      <c r="A15" s="6" t="s">
        <v>122</v>
      </c>
      <c r="B15" s="6" t="s">
        <v>123</v>
      </c>
      <c r="C15" s="6" t="s">
        <v>43</v>
      </c>
      <c r="D15" s="6" t="s">
        <v>44</v>
      </c>
      <c r="E15" s="5" t="s">
        <v>45</v>
      </c>
      <c r="F15" s="6"/>
      <c r="G15" s="6"/>
      <c r="H15" s="6" t="s">
        <v>108</v>
      </c>
      <c r="I15" s="6" t="s">
        <v>124</v>
      </c>
      <c r="J15" s="6" t="s">
        <v>110</v>
      </c>
      <c r="K15" s="6"/>
      <c r="L15" s="6" t="s">
        <v>111</v>
      </c>
      <c r="M15" s="6"/>
      <c r="N15" s="6" t="s">
        <v>125</v>
      </c>
      <c r="O15" s="6"/>
      <c r="P15" s="6" t="s">
        <v>126</v>
      </c>
      <c r="Q15" s="6"/>
    </row>
    <row r="16" customFormat="false" ht="39.55" hidden="false" customHeight="false" outlineLevel="0" collapsed="false">
      <c r="A16" s="2" t="s">
        <v>127</v>
      </c>
      <c r="B16" s="2" t="s">
        <v>128</v>
      </c>
      <c r="C16" s="2" t="s">
        <v>43</v>
      </c>
      <c r="D16" s="2" t="s">
        <v>44</v>
      </c>
      <c r="E16" s="5" t="s">
        <v>45</v>
      </c>
      <c r="F16" s="2"/>
      <c r="G16" s="2"/>
      <c r="H16" s="2" t="s">
        <v>129</v>
      </c>
      <c r="I16" s="2" t="s">
        <v>130</v>
      </c>
      <c r="J16" s="2" t="s">
        <v>131</v>
      </c>
      <c r="K16" s="2"/>
      <c r="L16" s="2" t="s">
        <v>132</v>
      </c>
      <c r="M16" s="2"/>
      <c r="N16" s="2" t="s">
        <v>133</v>
      </c>
      <c r="O16" s="2"/>
      <c r="P16" s="2" t="s">
        <v>134</v>
      </c>
      <c r="Q16" s="2" t="s">
        <v>135</v>
      </c>
    </row>
    <row r="17" customFormat="false" ht="39.55" hidden="false" customHeight="false" outlineLevel="0" collapsed="false">
      <c r="A17" s="6" t="s">
        <v>136</v>
      </c>
      <c r="B17" s="6" t="s">
        <v>76</v>
      </c>
      <c r="C17" s="6" t="s">
        <v>43</v>
      </c>
      <c r="D17" s="6" t="s">
        <v>44</v>
      </c>
      <c r="E17" s="5" t="s">
        <v>45</v>
      </c>
      <c r="F17" s="6"/>
      <c r="G17" s="6"/>
      <c r="H17" s="6" t="s">
        <v>137</v>
      </c>
      <c r="I17" s="6" t="s">
        <v>138</v>
      </c>
      <c r="J17" s="6" t="s">
        <v>139</v>
      </c>
      <c r="K17" s="6"/>
      <c r="L17" s="6" t="s">
        <v>140</v>
      </c>
      <c r="M17" s="6"/>
      <c r="N17" s="6" t="s">
        <v>141</v>
      </c>
      <c r="O17" s="6"/>
      <c r="P17" s="6" t="s">
        <v>142</v>
      </c>
      <c r="Q17" s="6"/>
    </row>
    <row r="18" customFormat="false" ht="39.55" hidden="false" customHeight="false" outlineLevel="0" collapsed="false">
      <c r="A18" s="2" t="s">
        <v>143</v>
      </c>
      <c r="B18" s="2" t="s">
        <v>42</v>
      </c>
      <c r="C18" s="2" t="s">
        <v>43</v>
      </c>
      <c r="D18" s="2" t="s">
        <v>44</v>
      </c>
      <c r="E18" s="5" t="s">
        <v>45</v>
      </c>
      <c r="F18" s="2"/>
      <c r="G18" s="2"/>
      <c r="H18" s="2" t="s">
        <v>46</v>
      </c>
      <c r="I18" s="2" t="s">
        <v>103</v>
      </c>
      <c r="J18" s="2" t="s">
        <v>48</v>
      </c>
      <c r="K18" s="2"/>
      <c r="L18" s="2" t="s">
        <v>49</v>
      </c>
      <c r="M18" s="2"/>
      <c r="N18" s="2" t="s">
        <v>144</v>
      </c>
      <c r="O18" s="2"/>
      <c r="P18" s="2" t="s">
        <v>145</v>
      </c>
      <c r="Q18" s="2" t="s">
        <v>146</v>
      </c>
    </row>
    <row r="19" customFormat="false" ht="39.55" hidden="false" customHeight="false" outlineLevel="0" collapsed="false">
      <c r="A19" s="6" t="s">
        <v>147</v>
      </c>
      <c r="B19" s="6" t="s">
        <v>148</v>
      </c>
      <c r="C19" s="6" t="s">
        <v>43</v>
      </c>
      <c r="D19" s="6" t="s">
        <v>44</v>
      </c>
      <c r="E19" s="5" t="s">
        <v>45</v>
      </c>
      <c r="F19" s="6"/>
      <c r="G19" s="6"/>
      <c r="H19" s="6" t="s">
        <v>95</v>
      </c>
      <c r="I19" s="6" t="s">
        <v>149</v>
      </c>
      <c r="J19" s="6" t="s">
        <v>97</v>
      </c>
      <c r="K19" s="6"/>
      <c r="L19" s="6" t="s">
        <v>98</v>
      </c>
      <c r="M19" s="6"/>
      <c r="N19" s="6" t="s">
        <v>150</v>
      </c>
      <c r="O19" s="6"/>
      <c r="P19" s="6" t="s">
        <v>151</v>
      </c>
      <c r="Q19" s="6"/>
    </row>
    <row r="20" customFormat="false" ht="39.55" hidden="false" customHeight="false" outlineLevel="0" collapsed="false">
      <c r="A20" s="2" t="s">
        <v>152</v>
      </c>
      <c r="B20" s="2" t="s">
        <v>128</v>
      </c>
      <c r="C20" s="2" t="s">
        <v>153</v>
      </c>
      <c r="D20" s="2" t="s">
        <v>44</v>
      </c>
      <c r="E20" s="5" t="s">
        <v>45</v>
      </c>
      <c r="F20" s="2"/>
      <c r="G20" s="2"/>
      <c r="H20" s="2" t="s">
        <v>65</v>
      </c>
      <c r="I20" s="2" t="s">
        <v>154</v>
      </c>
      <c r="J20" s="2" t="s">
        <v>67</v>
      </c>
      <c r="K20" s="2"/>
      <c r="L20" s="2" t="s">
        <v>68</v>
      </c>
      <c r="M20" s="2"/>
      <c r="N20" s="2" t="s">
        <v>155</v>
      </c>
      <c r="O20" s="2"/>
      <c r="P20" s="2" t="s">
        <v>156</v>
      </c>
      <c r="Q20" s="2"/>
    </row>
    <row r="21" customFormat="false" ht="39.55" hidden="false" customHeight="false" outlineLevel="0" collapsed="false">
      <c r="A21" s="6" t="s">
        <v>157</v>
      </c>
      <c r="B21" s="6" t="s">
        <v>158</v>
      </c>
      <c r="C21" s="6" t="s">
        <v>43</v>
      </c>
      <c r="D21" s="6" t="s">
        <v>44</v>
      </c>
      <c r="E21" s="5" t="s">
        <v>45</v>
      </c>
      <c r="F21" s="6"/>
      <c r="G21" s="6"/>
      <c r="H21" s="6" t="s">
        <v>159</v>
      </c>
      <c r="I21" s="6" t="s">
        <v>160</v>
      </c>
      <c r="J21" s="6" t="s">
        <v>161</v>
      </c>
      <c r="K21" s="6"/>
      <c r="L21" s="6" t="s">
        <v>162</v>
      </c>
      <c r="M21" s="6"/>
      <c r="N21" s="6" t="s">
        <v>163</v>
      </c>
      <c r="O21" s="6"/>
      <c r="P21" s="6" t="s">
        <v>164</v>
      </c>
      <c r="Q21" s="6"/>
    </row>
    <row r="22" customFormat="false" ht="39.55" hidden="false" customHeight="false" outlineLevel="0" collapsed="false">
      <c r="A22" s="2" t="s">
        <v>165</v>
      </c>
      <c r="B22" s="2" t="s">
        <v>42</v>
      </c>
      <c r="C22" s="2" t="s">
        <v>43</v>
      </c>
      <c r="D22" s="2" t="s">
        <v>44</v>
      </c>
      <c r="E22" s="5" t="s">
        <v>45</v>
      </c>
      <c r="F22" s="2"/>
      <c r="G22" s="2"/>
      <c r="H22" s="2" t="s">
        <v>46</v>
      </c>
      <c r="I22" s="2" t="s">
        <v>166</v>
      </c>
      <c r="J22" s="2" t="s">
        <v>48</v>
      </c>
      <c r="K22" s="2"/>
      <c r="L22" s="2" t="s">
        <v>49</v>
      </c>
      <c r="M22" s="2"/>
      <c r="N22" s="2" t="s">
        <v>167</v>
      </c>
      <c r="O22" s="2"/>
      <c r="P22" s="2" t="s">
        <v>168</v>
      </c>
      <c r="Q22" s="2"/>
    </row>
    <row r="23" customFormat="false" ht="39.55" hidden="false" customHeight="false" outlineLevel="0" collapsed="false">
      <c r="A23" s="6" t="s">
        <v>169</v>
      </c>
      <c r="B23" s="6" t="s">
        <v>18</v>
      </c>
      <c r="C23" s="6" t="s">
        <v>43</v>
      </c>
      <c r="D23" s="6" t="s">
        <v>44</v>
      </c>
      <c r="E23" s="5" t="s">
        <v>45</v>
      </c>
      <c r="F23" s="6"/>
      <c r="G23" s="6"/>
      <c r="H23" s="6" t="s">
        <v>65</v>
      </c>
      <c r="I23" s="6" t="s">
        <v>66</v>
      </c>
      <c r="J23" s="6" t="s">
        <v>67</v>
      </c>
      <c r="K23" s="6"/>
      <c r="L23" s="6" t="s">
        <v>68</v>
      </c>
      <c r="M23" s="6"/>
      <c r="N23" s="6" t="s">
        <v>170</v>
      </c>
      <c r="O23" s="6"/>
      <c r="P23" s="6" t="s">
        <v>171</v>
      </c>
      <c r="Q23" s="6" t="s">
        <v>172</v>
      </c>
    </row>
    <row r="24" customFormat="false" ht="39.55" hidden="false" customHeight="false" outlineLevel="0" collapsed="false">
      <c r="A24" s="2" t="s">
        <v>173</v>
      </c>
      <c r="B24" s="2" t="s">
        <v>148</v>
      </c>
      <c r="C24" s="2" t="s">
        <v>43</v>
      </c>
      <c r="D24" s="2" t="s">
        <v>44</v>
      </c>
      <c r="E24" s="5" t="s">
        <v>45</v>
      </c>
      <c r="F24" s="2"/>
      <c r="G24" s="2"/>
      <c r="H24" s="2" t="s">
        <v>77</v>
      </c>
      <c r="I24" s="2" t="s">
        <v>174</v>
      </c>
      <c r="J24" s="2" t="s">
        <v>79</v>
      </c>
      <c r="K24" s="2"/>
      <c r="L24" s="2" t="s">
        <v>80</v>
      </c>
      <c r="M24" s="2"/>
      <c r="N24" s="2" t="s">
        <v>175</v>
      </c>
      <c r="O24" s="2"/>
      <c r="P24" s="2" t="s">
        <v>176</v>
      </c>
      <c r="Q24" s="2" t="s">
        <v>177</v>
      </c>
    </row>
    <row r="25" customFormat="false" ht="39.55" hidden="false" customHeight="false" outlineLevel="0" collapsed="false">
      <c r="A25" s="6" t="s">
        <v>178</v>
      </c>
      <c r="B25" s="6" t="s">
        <v>115</v>
      </c>
      <c r="C25" s="6" t="s">
        <v>43</v>
      </c>
      <c r="D25" s="6" t="s">
        <v>44</v>
      </c>
      <c r="E25" s="5" t="s">
        <v>45</v>
      </c>
      <c r="F25" s="6"/>
      <c r="G25" s="6"/>
      <c r="H25" s="6" t="s">
        <v>179</v>
      </c>
      <c r="I25" s="6" t="s">
        <v>66</v>
      </c>
      <c r="J25" s="6" t="s">
        <v>180</v>
      </c>
      <c r="K25" s="6"/>
      <c r="L25" s="6" t="s">
        <v>181</v>
      </c>
      <c r="M25" s="6"/>
      <c r="N25" s="6" t="s">
        <v>182</v>
      </c>
      <c r="O25" s="6"/>
      <c r="P25" s="6" t="s">
        <v>183</v>
      </c>
      <c r="Q25" s="6"/>
    </row>
    <row r="26" customFormat="false" ht="39.55" hidden="false" customHeight="false" outlineLevel="0" collapsed="false">
      <c r="A26" s="2" t="s">
        <v>184</v>
      </c>
      <c r="B26" s="2" t="s">
        <v>185</v>
      </c>
      <c r="C26" s="2" t="s">
        <v>43</v>
      </c>
      <c r="D26" s="2" t="s">
        <v>44</v>
      </c>
      <c r="E26" s="5" t="s">
        <v>45</v>
      </c>
      <c r="F26" s="2" t="n">
        <v>2024</v>
      </c>
      <c r="G26" s="2"/>
      <c r="H26" s="2" t="s">
        <v>65</v>
      </c>
      <c r="I26" s="2" t="s">
        <v>186</v>
      </c>
      <c r="J26" s="2" t="s">
        <v>67</v>
      </c>
      <c r="K26" s="2"/>
      <c r="L26" s="2" t="s">
        <v>68</v>
      </c>
      <c r="M26" s="2"/>
      <c r="N26" s="2" t="s">
        <v>187</v>
      </c>
      <c r="O26" s="2"/>
      <c r="P26" s="2" t="s">
        <v>188</v>
      </c>
      <c r="Q26" s="2"/>
    </row>
    <row r="27" customFormat="false" ht="39.55" hidden="false" customHeight="false" outlineLevel="0" collapsed="false">
      <c r="A27" s="6" t="s">
        <v>189</v>
      </c>
      <c r="B27" s="6" t="s">
        <v>115</v>
      </c>
      <c r="C27" s="6" t="s">
        <v>43</v>
      </c>
      <c r="D27" s="6" t="s">
        <v>44</v>
      </c>
      <c r="E27" s="5" t="s">
        <v>45</v>
      </c>
      <c r="F27" s="6"/>
      <c r="G27" s="6"/>
      <c r="H27" s="6" t="s">
        <v>95</v>
      </c>
      <c r="I27" s="6" t="s">
        <v>190</v>
      </c>
      <c r="J27" s="6" t="s">
        <v>97</v>
      </c>
      <c r="K27" s="6"/>
      <c r="L27" s="6" t="s">
        <v>98</v>
      </c>
      <c r="M27" s="6"/>
      <c r="N27" s="6" t="s">
        <v>191</v>
      </c>
      <c r="O27" s="6"/>
      <c r="P27" s="6" t="s">
        <v>192</v>
      </c>
      <c r="Q27" s="6"/>
    </row>
    <row r="28" customFormat="false" ht="39.55" hidden="false" customHeight="false" outlineLevel="0" collapsed="false">
      <c r="A28" s="2" t="s">
        <v>193</v>
      </c>
      <c r="B28" s="2" t="s">
        <v>194</v>
      </c>
      <c r="C28" s="2" t="s">
        <v>43</v>
      </c>
      <c r="D28" s="2" t="s">
        <v>44</v>
      </c>
      <c r="E28" s="5" t="s">
        <v>45</v>
      </c>
      <c r="F28" s="2"/>
      <c r="G28" s="2"/>
      <c r="H28" s="2" t="s">
        <v>77</v>
      </c>
      <c r="I28" s="2" t="s">
        <v>195</v>
      </c>
      <c r="J28" s="2" t="s">
        <v>79</v>
      </c>
      <c r="K28" s="2"/>
      <c r="L28" s="2" t="s">
        <v>80</v>
      </c>
      <c r="M28" s="2"/>
      <c r="N28" s="2" t="s">
        <v>196</v>
      </c>
      <c r="O28" s="2"/>
      <c r="P28" s="2" t="s">
        <v>197</v>
      </c>
      <c r="Q28" s="2"/>
    </row>
    <row r="29" customFormat="false" ht="39.55" hidden="false" customHeight="false" outlineLevel="0" collapsed="false">
      <c r="A29" s="6" t="s">
        <v>198</v>
      </c>
      <c r="B29" s="6" t="s">
        <v>115</v>
      </c>
      <c r="C29" s="6" t="s">
        <v>43</v>
      </c>
      <c r="D29" s="6" t="s">
        <v>44</v>
      </c>
      <c r="E29" s="5" t="s">
        <v>45</v>
      </c>
      <c r="F29" s="6"/>
      <c r="G29" s="6"/>
      <c r="H29" s="6" t="s">
        <v>108</v>
      </c>
      <c r="I29" s="6" t="s">
        <v>199</v>
      </c>
      <c r="J29" s="6" t="s">
        <v>110</v>
      </c>
      <c r="K29" s="6"/>
      <c r="L29" s="6" t="s">
        <v>111</v>
      </c>
      <c r="M29" s="6"/>
      <c r="N29" s="6" t="s">
        <v>200</v>
      </c>
      <c r="O29" s="6"/>
      <c r="P29" s="6" t="s">
        <v>201</v>
      </c>
      <c r="Q29" s="6"/>
    </row>
    <row r="30" customFormat="false" ht="39.55" hidden="false" customHeight="false" outlineLevel="0" collapsed="false">
      <c r="A30" s="2" t="s">
        <v>202</v>
      </c>
      <c r="B30" s="2" t="s">
        <v>115</v>
      </c>
      <c r="C30" s="2" t="s">
        <v>43</v>
      </c>
      <c r="D30" s="2" t="s">
        <v>44</v>
      </c>
      <c r="E30" s="5" t="s">
        <v>45</v>
      </c>
      <c r="F30" s="2"/>
      <c r="G30" s="2"/>
      <c r="H30" s="2" t="s">
        <v>203</v>
      </c>
      <c r="I30" s="2" t="s">
        <v>204</v>
      </c>
      <c r="J30" s="2" t="s">
        <v>205</v>
      </c>
      <c r="K30" s="2"/>
      <c r="L30" s="2" t="s">
        <v>206</v>
      </c>
      <c r="M30" s="2"/>
      <c r="N30" s="2" t="s">
        <v>207</v>
      </c>
      <c r="O30" s="2"/>
      <c r="P30" s="2" t="s">
        <v>208</v>
      </c>
      <c r="Q30" s="2"/>
    </row>
    <row r="31" customFormat="false" ht="39.55" hidden="false" customHeight="false" outlineLevel="0" collapsed="false">
      <c r="A31" s="6" t="s">
        <v>209</v>
      </c>
      <c r="B31" s="6" t="s">
        <v>158</v>
      </c>
      <c r="C31" s="6" t="s">
        <v>43</v>
      </c>
      <c r="D31" s="6" t="s">
        <v>44</v>
      </c>
      <c r="E31" s="5" t="s">
        <v>45</v>
      </c>
      <c r="F31" s="6"/>
      <c r="G31" s="6"/>
      <c r="H31" s="6" t="s">
        <v>159</v>
      </c>
      <c r="I31" s="6" t="s">
        <v>160</v>
      </c>
      <c r="J31" s="6" t="s">
        <v>161</v>
      </c>
      <c r="K31" s="6"/>
      <c r="L31" s="6" t="s">
        <v>162</v>
      </c>
      <c r="M31" s="6"/>
      <c r="N31" s="6" t="s">
        <v>210</v>
      </c>
      <c r="O31" s="6"/>
      <c r="P31" s="6" t="s">
        <v>211</v>
      </c>
      <c r="Q31" s="6"/>
    </row>
    <row r="32" customFormat="false" ht="39.55" hidden="false" customHeight="false" outlineLevel="0" collapsed="false">
      <c r="A32" s="2" t="s">
        <v>212</v>
      </c>
      <c r="B32" s="2" t="s">
        <v>213</v>
      </c>
      <c r="C32" s="2" t="s">
        <v>43</v>
      </c>
      <c r="D32" s="2" t="s">
        <v>44</v>
      </c>
      <c r="E32" s="5" t="s">
        <v>45</v>
      </c>
      <c r="F32" s="2"/>
      <c r="G32" s="2"/>
      <c r="H32" s="2" t="s">
        <v>95</v>
      </c>
      <c r="I32" s="2" t="s">
        <v>214</v>
      </c>
      <c r="J32" s="2" t="s">
        <v>97</v>
      </c>
      <c r="K32" s="2"/>
      <c r="L32" s="2" t="s">
        <v>98</v>
      </c>
      <c r="M32" s="2"/>
      <c r="N32" s="2" t="s">
        <v>215</v>
      </c>
      <c r="O32" s="2"/>
      <c r="P32" s="2" t="s">
        <v>216</v>
      </c>
      <c r="Q32" s="2" t="s">
        <v>217</v>
      </c>
    </row>
    <row r="33" customFormat="false" ht="39.55" hidden="false" customHeight="false" outlineLevel="0" collapsed="false">
      <c r="A33" s="6" t="s">
        <v>218</v>
      </c>
      <c r="B33" s="6" t="s">
        <v>185</v>
      </c>
      <c r="C33" s="6" t="s">
        <v>43</v>
      </c>
      <c r="D33" s="6" t="s">
        <v>44</v>
      </c>
      <c r="E33" s="4" t="s">
        <v>33</v>
      </c>
      <c r="F33" s="6"/>
      <c r="G33" s="6"/>
      <c r="H33" s="6" t="s">
        <v>219</v>
      </c>
      <c r="I33" s="6" t="s">
        <v>220</v>
      </c>
      <c r="J33" s="6" t="s">
        <v>221</v>
      </c>
      <c r="K33" s="6"/>
      <c r="L33" s="6" t="s">
        <v>222</v>
      </c>
      <c r="M33" s="6"/>
      <c r="N33" s="6" t="s">
        <v>223</v>
      </c>
      <c r="O33" s="6"/>
      <c r="P33" s="6" t="s">
        <v>224</v>
      </c>
      <c r="Q33" s="6" t="s">
        <v>225</v>
      </c>
    </row>
    <row r="34" customFormat="false" ht="39.55" hidden="false" customHeight="false" outlineLevel="0" collapsed="false">
      <c r="A34" s="2" t="s">
        <v>226</v>
      </c>
      <c r="B34" s="2" t="s">
        <v>158</v>
      </c>
      <c r="C34" s="2" t="s">
        <v>43</v>
      </c>
      <c r="D34" s="2" t="s">
        <v>44</v>
      </c>
      <c r="E34" s="3" t="s">
        <v>21</v>
      </c>
      <c r="F34" s="2"/>
      <c r="G34" s="2"/>
      <c r="H34" s="2" t="s">
        <v>159</v>
      </c>
      <c r="I34" s="2" t="s">
        <v>160</v>
      </c>
      <c r="J34" s="2" t="s">
        <v>161</v>
      </c>
      <c r="K34" s="2"/>
      <c r="L34" s="2" t="s">
        <v>162</v>
      </c>
      <c r="M34" s="2"/>
      <c r="N34" s="2" t="s">
        <v>227</v>
      </c>
      <c r="O34" s="2"/>
      <c r="P34" s="2" t="s">
        <v>228</v>
      </c>
      <c r="Q34" s="2"/>
    </row>
    <row r="35" customFormat="false" ht="39.55" hidden="false" customHeight="false" outlineLevel="0" collapsed="false">
      <c r="A35" s="6" t="s">
        <v>229</v>
      </c>
      <c r="B35" s="6" t="s">
        <v>230</v>
      </c>
      <c r="C35" s="6" t="s">
        <v>43</v>
      </c>
      <c r="D35" s="6" t="s">
        <v>44</v>
      </c>
      <c r="E35" s="5" t="s">
        <v>45</v>
      </c>
      <c r="F35" s="6"/>
      <c r="G35" s="6"/>
      <c r="H35" s="6" t="s">
        <v>231</v>
      </c>
      <c r="I35" s="6" t="s">
        <v>232</v>
      </c>
      <c r="J35" s="6" t="s">
        <v>233</v>
      </c>
      <c r="K35" s="6"/>
      <c r="L35" s="6" t="s">
        <v>234</v>
      </c>
      <c r="M35" s="6"/>
      <c r="N35" s="6" t="s">
        <v>235</v>
      </c>
      <c r="O35" s="6"/>
      <c r="P35" s="6" t="s">
        <v>236</v>
      </c>
      <c r="Q35" s="6"/>
    </row>
    <row r="36" customFormat="false" ht="39.55" hidden="false" customHeight="false" outlineLevel="0" collapsed="false">
      <c r="A36" s="2" t="s">
        <v>237</v>
      </c>
      <c r="B36" s="2" t="s">
        <v>158</v>
      </c>
      <c r="C36" s="2" t="s">
        <v>43</v>
      </c>
      <c r="D36" s="2" t="s">
        <v>44</v>
      </c>
      <c r="E36" s="4" t="s">
        <v>33</v>
      </c>
      <c r="F36" s="2"/>
      <c r="G36" s="2"/>
      <c r="H36" s="2" t="s">
        <v>159</v>
      </c>
      <c r="I36" s="2" t="s">
        <v>160</v>
      </c>
      <c r="J36" s="2" t="s">
        <v>161</v>
      </c>
      <c r="K36" s="2"/>
      <c r="L36" s="2" t="s">
        <v>162</v>
      </c>
      <c r="M36" s="2"/>
      <c r="N36" s="2" t="s">
        <v>238</v>
      </c>
      <c r="O36" s="2"/>
      <c r="P36" s="2" t="s">
        <v>239</v>
      </c>
      <c r="Q36" s="2"/>
    </row>
    <row r="37" customFormat="false" ht="39.55" hidden="false" customHeight="false" outlineLevel="0" collapsed="false">
      <c r="A37" s="6" t="s">
        <v>240</v>
      </c>
      <c r="B37" s="6" t="s">
        <v>241</v>
      </c>
      <c r="C37" s="6" t="s">
        <v>43</v>
      </c>
      <c r="D37" s="6" t="s">
        <v>44</v>
      </c>
      <c r="E37" s="5" t="s">
        <v>45</v>
      </c>
      <c r="F37" s="6" t="n">
        <v>1997</v>
      </c>
      <c r="G37" s="6"/>
      <c r="H37" s="6" t="s">
        <v>108</v>
      </c>
      <c r="I37" s="6" t="s">
        <v>124</v>
      </c>
      <c r="J37" s="6" t="s">
        <v>110</v>
      </c>
      <c r="K37" s="6"/>
      <c r="L37" s="6" t="s">
        <v>111</v>
      </c>
      <c r="M37" s="6"/>
      <c r="N37" s="6" t="s">
        <v>242</v>
      </c>
      <c r="O37" s="6"/>
      <c r="P37" s="6" t="s">
        <v>243</v>
      </c>
      <c r="Q37" s="6" t="s">
        <v>244</v>
      </c>
    </row>
    <row r="38" customFormat="false" ht="39.55" hidden="false" customHeight="false" outlineLevel="0" collapsed="false">
      <c r="A38" s="2" t="s">
        <v>245</v>
      </c>
      <c r="B38" s="2" t="s">
        <v>246</v>
      </c>
      <c r="C38" s="2" t="s">
        <v>43</v>
      </c>
      <c r="D38" s="2" t="s">
        <v>44</v>
      </c>
      <c r="E38" s="5" t="s">
        <v>45</v>
      </c>
      <c r="F38" s="2"/>
      <c r="G38" s="2"/>
      <c r="H38" s="2" t="s">
        <v>95</v>
      </c>
      <c r="I38" s="2" t="s">
        <v>149</v>
      </c>
      <c r="J38" s="2" t="s">
        <v>97</v>
      </c>
      <c r="K38" s="2"/>
      <c r="L38" s="2" t="s">
        <v>98</v>
      </c>
      <c r="M38" s="2"/>
      <c r="N38" s="2" t="s">
        <v>247</v>
      </c>
      <c r="O38" s="2"/>
      <c r="P38" s="2" t="s">
        <v>248</v>
      </c>
      <c r="Q38" s="2"/>
    </row>
    <row r="39" customFormat="false" ht="39.55" hidden="false" customHeight="false" outlineLevel="0" collapsed="false">
      <c r="A39" s="6" t="s">
        <v>249</v>
      </c>
      <c r="B39" s="6" t="s">
        <v>213</v>
      </c>
      <c r="C39" s="6" t="s">
        <v>43</v>
      </c>
      <c r="D39" s="6" t="s">
        <v>44</v>
      </c>
      <c r="E39" s="5" t="s">
        <v>45</v>
      </c>
      <c r="F39" s="6"/>
      <c r="G39" s="6"/>
      <c r="H39" s="6" t="s">
        <v>95</v>
      </c>
      <c r="I39" s="6" t="s">
        <v>250</v>
      </c>
      <c r="J39" s="6" t="s">
        <v>97</v>
      </c>
      <c r="K39" s="6"/>
      <c r="L39" s="6" t="s">
        <v>98</v>
      </c>
      <c r="M39" s="6"/>
      <c r="N39" s="6" t="s">
        <v>251</v>
      </c>
      <c r="O39" s="6"/>
      <c r="P39" s="6" t="s">
        <v>252</v>
      </c>
      <c r="Q39" s="6"/>
    </row>
    <row r="40" customFormat="false" ht="39.55" hidden="false" customHeight="false" outlineLevel="0" collapsed="false">
      <c r="A40" s="2" t="s">
        <v>253</v>
      </c>
      <c r="B40" s="2" t="s">
        <v>213</v>
      </c>
      <c r="C40" s="2" t="s">
        <v>43</v>
      </c>
      <c r="D40" s="2" t="s">
        <v>44</v>
      </c>
      <c r="E40" s="5" t="s">
        <v>45</v>
      </c>
      <c r="F40" s="2"/>
      <c r="G40" s="2"/>
      <c r="H40" s="2" t="s">
        <v>254</v>
      </c>
      <c r="I40" s="2" t="s">
        <v>255</v>
      </c>
      <c r="J40" s="2" t="s">
        <v>256</v>
      </c>
      <c r="K40" s="2"/>
      <c r="L40" s="2" t="s">
        <v>257</v>
      </c>
      <c r="M40" s="2"/>
      <c r="N40" s="2" t="s">
        <v>258</v>
      </c>
      <c r="O40" s="2"/>
      <c r="P40" s="2" t="s">
        <v>259</v>
      </c>
      <c r="Q40" s="2"/>
    </row>
    <row r="41" customFormat="false" ht="39.55" hidden="false" customHeight="false" outlineLevel="0" collapsed="false">
      <c r="A41" s="2" t="s">
        <v>260</v>
      </c>
      <c r="B41" s="2" t="s">
        <v>261</v>
      </c>
      <c r="C41" s="2" t="s">
        <v>262</v>
      </c>
      <c r="D41" s="2" t="s">
        <v>263</v>
      </c>
      <c r="E41" s="3" t="s">
        <v>21</v>
      </c>
      <c r="F41" s="2"/>
      <c r="G41" s="2"/>
      <c r="H41" s="2" t="s">
        <v>264</v>
      </c>
      <c r="I41" s="2" t="s">
        <v>265</v>
      </c>
      <c r="J41" s="2" t="s">
        <v>266</v>
      </c>
      <c r="K41" s="2"/>
      <c r="L41" s="2" t="s">
        <v>267</v>
      </c>
      <c r="M41" s="2"/>
      <c r="N41" s="2" t="s">
        <v>268</v>
      </c>
      <c r="O41" s="2"/>
      <c r="P41" s="2" t="s">
        <v>269</v>
      </c>
      <c r="Q41" s="2" t="s">
        <v>270</v>
      </c>
    </row>
    <row r="42" customFormat="false" ht="39.55" hidden="false" customHeight="false" outlineLevel="0" collapsed="false">
      <c r="A42" s="6" t="s">
        <v>271</v>
      </c>
      <c r="B42" s="6" t="s">
        <v>272</v>
      </c>
      <c r="C42" s="6" t="s">
        <v>273</v>
      </c>
      <c r="D42" s="6" t="s">
        <v>263</v>
      </c>
      <c r="E42" s="5" t="s">
        <v>45</v>
      </c>
      <c r="F42" s="6" t="n">
        <v>2024</v>
      </c>
      <c r="G42" s="6"/>
      <c r="H42" s="6" t="s">
        <v>274</v>
      </c>
      <c r="I42" s="6" t="s">
        <v>275</v>
      </c>
      <c r="J42" s="6" t="s">
        <v>276</v>
      </c>
      <c r="K42" s="6"/>
      <c r="L42" s="6" t="s">
        <v>277</v>
      </c>
      <c r="M42" s="6"/>
      <c r="N42" s="6" t="s">
        <v>278</v>
      </c>
      <c r="O42" s="6"/>
      <c r="P42" s="6" t="s">
        <v>279</v>
      </c>
      <c r="Q42" s="6" t="s">
        <v>280</v>
      </c>
    </row>
    <row r="43" customFormat="false" ht="39.55" hidden="false" customHeight="false" outlineLevel="0" collapsed="false">
      <c r="A43" s="2" t="s">
        <v>281</v>
      </c>
      <c r="B43" s="2" t="s">
        <v>185</v>
      </c>
      <c r="C43" s="2" t="s">
        <v>262</v>
      </c>
      <c r="D43" s="2" t="s">
        <v>263</v>
      </c>
      <c r="E43" s="5" t="s">
        <v>45</v>
      </c>
      <c r="F43" s="2" t="n">
        <v>2024</v>
      </c>
      <c r="G43" s="2"/>
      <c r="H43" s="2" t="s">
        <v>282</v>
      </c>
      <c r="I43" s="2" t="s">
        <v>283</v>
      </c>
      <c r="J43" s="2" t="s">
        <v>284</v>
      </c>
      <c r="K43" s="2"/>
      <c r="L43" s="2" t="s">
        <v>285</v>
      </c>
      <c r="M43" s="2"/>
      <c r="N43" s="2" t="s">
        <v>286</v>
      </c>
      <c r="O43" s="2"/>
      <c r="P43" s="2" t="s">
        <v>287</v>
      </c>
      <c r="Q43" s="2" t="s">
        <v>288</v>
      </c>
    </row>
    <row r="44" customFormat="false" ht="39.55" hidden="false" customHeight="false" outlineLevel="0" collapsed="false">
      <c r="A44" s="6" t="s">
        <v>289</v>
      </c>
      <c r="B44" s="6" t="s">
        <v>18</v>
      </c>
      <c r="C44" s="6" t="s">
        <v>290</v>
      </c>
      <c r="D44" s="6" t="s">
        <v>263</v>
      </c>
      <c r="E44" s="5" t="s">
        <v>45</v>
      </c>
      <c r="F44" s="6"/>
      <c r="G44" s="6"/>
      <c r="H44" s="6" t="s">
        <v>291</v>
      </c>
      <c r="I44" s="6" t="s">
        <v>292</v>
      </c>
      <c r="J44" s="6" t="s">
        <v>293</v>
      </c>
      <c r="K44" s="6"/>
      <c r="L44" s="6" t="s">
        <v>294</v>
      </c>
      <c r="M44" s="6"/>
      <c r="N44" s="6" t="s">
        <v>295</v>
      </c>
      <c r="O44" s="6"/>
      <c r="P44" s="6" t="s">
        <v>296</v>
      </c>
      <c r="Q44" s="6"/>
    </row>
    <row r="45" customFormat="false" ht="39.55" hidden="false" customHeight="false" outlineLevel="0" collapsed="false">
      <c r="A45" s="2" t="s">
        <v>297</v>
      </c>
      <c r="B45" s="2" t="s">
        <v>298</v>
      </c>
      <c r="C45" s="2" t="s">
        <v>299</v>
      </c>
      <c r="D45" s="2" t="s">
        <v>263</v>
      </c>
      <c r="E45" s="4" t="s">
        <v>33</v>
      </c>
      <c r="F45" s="2"/>
      <c r="G45" s="2"/>
      <c r="H45" s="2" t="s">
        <v>300</v>
      </c>
      <c r="I45" s="2" t="s">
        <v>301</v>
      </c>
      <c r="J45" s="2" t="s">
        <v>302</v>
      </c>
      <c r="K45" s="2"/>
      <c r="L45" s="2" t="s">
        <v>303</v>
      </c>
      <c r="M45" s="2"/>
      <c r="N45" s="2" t="s">
        <v>304</v>
      </c>
      <c r="O45" s="2"/>
      <c r="P45" s="2" t="s">
        <v>305</v>
      </c>
      <c r="Q45" s="2" t="s">
        <v>306</v>
      </c>
    </row>
    <row r="46" customFormat="false" ht="39.55" hidden="false" customHeight="false" outlineLevel="0" collapsed="false">
      <c r="A46" s="6" t="s">
        <v>307</v>
      </c>
      <c r="B46" s="6" t="s">
        <v>298</v>
      </c>
      <c r="C46" s="6" t="s">
        <v>299</v>
      </c>
      <c r="D46" s="6" t="s">
        <v>263</v>
      </c>
      <c r="E46" s="3" t="s">
        <v>21</v>
      </c>
      <c r="F46" s="6"/>
      <c r="G46" s="6"/>
      <c r="H46" s="6" t="s">
        <v>300</v>
      </c>
      <c r="I46" s="6" t="s">
        <v>301</v>
      </c>
      <c r="J46" s="6" t="s">
        <v>302</v>
      </c>
      <c r="K46" s="6"/>
      <c r="L46" s="6" t="s">
        <v>303</v>
      </c>
      <c r="M46" s="6"/>
      <c r="N46" s="6" t="s">
        <v>308</v>
      </c>
      <c r="O46" s="6"/>
      <c r="P46" s="6" t="s">
        <v>309</v>
      </c>
      <c r="Q46" s="6" t="s">
        <v>310</v>
      </c>
    </row>
    <row r="47" customFormat="false" ht="39.55" hidden="false" customHeight="false" outlineLevel="0" collapsed="false">
      <c r="A47" s="2" t="s">
        <v>311</v>
      </c>
      <c r="B47" s="2" t="s">
        <v>298</v>
      </c>
      <c r="C47" s="2" t="s">
        <v>299</v>
      </c>
      <c r="D47" s="2" t="s">
        <v>263</v>
      </c>
      <c r="E47" s="4" t="s">
        <v>33</v>
      </c>
      <c r="F47" s="2"/>
      <c r="G47" s="2"/>
      <c r="H47" s="2" t="s">
        <v>300</v>
      </c>
      <c r="I47" s="2" t="s">
        <v>301</v>
      </c>
      <c r="J47" s="2" t="s">
        <v>302</v>
      </c>
      <c r="K47" s="2"/>
      <c r="L47" s="2" t="s">
        <v>303</v>
      </c>
      <c r="M47" s="2"/>
      <c r="N47" s="2" t="s">
        <v>312</v>
      </c>
      <c r="O47" s="2"/>
      <c r="P47" s="2" t="s">
        <v>313</v>
      </c>
      <c r="Q47" s="2" t="s">
        <v>314</v>
      </c>
    </row>
    <row r="48" customFormat="false" ht="39.55" hidden="false" customHeight="false" outlineLevel="0" collapsed="false">
      <c r="A48" s="6" t="s">
        <v>315</v>
      </c>
      <c r="B48" s="6" t="s">
        <v>316</v>
      </c>
      <c r="C48" s="6" t="s">
        <v>273</v>
      </c>
      <c r="D48" s="6" t="s">
        <v>263</v>
      </c>
      <c r="E48" s="3" t="s">
        <v>21</v>
      </c>
      <c r="F48" s="6"/>
      <c r="G48" s="6"/>
      <c r="H48" s="6" t="s">
        <v>317</v>
      </c>
      <c r="I48" s="6" t="s">
        <v>318</v>
      </c>
      <c r="J48" s="6" t="s">
        <v>319</v>
      </c>
      <c r="K48" s="6"/>
      <c r="L48" s="6" t="s">
        <v>320</v>
      </c>
      <c r="M48" s="6"/>
      <c r="N48" s="6" t="s">
        <v>321</v>
      </c>
      <c r="O48" s="6"/>
      <c r="P48" s="6" t="s">
        <v>322</v>
      </c>
      <c r="Q48" s="6" t="s">
        <v>323</v>
      </c>
    </row>
    <row r="49" customFormat="false" ht="39.55" hidden="false" customHeight="false" outlineLevel="0" collapsed="false">
      <c r="A49" s="2" t="s">
        <v>324</v>
      </c>
      <c r="B49" s="2" t="s">
        <v>18</v>
      </c>
      <c r="C49" s="2" t="s">
        <v>290</v>
      </c>
      <c r="D49" s="2" t="s">
        <v>263</v>
      </c>
      <c r="E49" s="5" t="s">
        <v>45</v>
      </c>
      <c r="F49" s="2"/>
      <c r="G49" s="2"/>
      <c r="H49" s="2" t="s">
        <v>325</v>
      </c>
      <c r="I49" s="2" t="s">
        <v>326</v>
      </c>
      <c r="J49" s="2" t="s">
        <v>327</v>
      </c>
      <c r="K49" s="2"/>
      <c r="L49" s="2" t="s">
        <v>328</v>
      </c>
      <c r="M49" s="2"/>
      <c r="N49" s="2" t="s">
        <v>329</v>
      </c>
      <c r="O49" s="2"/>
      <c r="P49" s="2" t="s">
        <v>330</v>
      </c>
      <c r="Q49" s="2"/>
    </row>
    <row r="50" customFormat="false" ht="39.55" hidden="false" customHeight="false" outlineLevel="0" collapsed="false">
      <c r="A50" s="6" t="s">
        <v>331</v>
      </c>
      <c r="B50" s="6" t="s">
        <v>332</v>
      </c>
      <c r="C50" s="6" t="s">
        <v>273</v>
      </c>
      <c r="D50" s="6" t="s">
        <v>263</v>
      </c>
      <c r="E50" s="3" t="s">
        <v>21</v>
      </c>
      <c r="F50" s="6"/>
      <c r="G50" s="6"/>
      <c r="H50" s="6" t="s">
        <v>333</v>
      </c>
      <c r="I50" s="6" t="s">
        <v>334</v>
      </c>
      <c r="J50" s="6" t="s">
        <v>335</v>
      </c>
      <c r="K50" s="6"/>
      <c r="L50" s="6" t="s">
        <v>336</v>
      </c>
      <c r="M50" s="6"/>
      <c r="N50" s="6" t="s">
        <v>337</v>
      </c>
      <c r="O50" s="6"/>
      <c r="P50" s="6" t="s">
        <v>338</v>
      </c>
      <c r="Q50" s="6" t="s">
        <v>339</v>
      </c>
    </row>
    <row r="51" customFormat="false" ht="39.55" hidden="false" customHeight="false" outlineLevel="0" collapsed="false">
      <c r="A51" s="2" t="s">
        <v>340</v>
      </c>
      <c r="B51" s="2" t="s">
        <v>341</v>
      </c>
      <c r="C51" s="2" t="s">
        <v>273</v>
      </c>
      <c r="D51" s="2" t="s">
        <v>263</v>
      </c>
      <c r="E51" s="5" t="s">
        <v>45</v>
      </c>
      <c r="F51" s="2" t="n">
        <v>2024</v>
      </c>
      <c r="G51" s="2"/>
      <c r="H51" s="2" t="s">
        <v>342</v>
      </c>
      <c r="I51" s="2" t="s">
        <v>343</v>
      </c>
      <c r="J51" s="2" t="s">
        <v>344</v>
      </c>
      <c r="K51" s="2"/>
      <c r="L51" s="2" t="s">
        <v>345</v>
      </c>
      <c r="M51" s="2"/>
      <c r="N51" s="2" t="s">
        <v>346</v>
      </c>
      <c r="O51" s="2"/>
      <c r="P51" s="2" t="s">
        <v>347</v>
      </c>
      <c r="Q51" s="2" t="s">
        <v>348</v>
      </c>
    </row>
    <row r="52" customFormat="false" ht="39.55" hidden="false" customHeight="false" outlineLevel="0" collapsed="false">
      <c r="A52" s="6" t="s">
        <v>349</v>
      </c>
      <c r="B52" s="6" t="s">
        <v>185</v>
      </c>
      <c r="C52" s="6" t="s">
        <v>350</v>
      </c>
      <c r="D52" s="6" t="s">
        <v>263</v>
      </c>
      <c r="E52" s="3" t="s">
        <v>21</v>
      </c>
      <c r="F52" s="6"/>
      <c r="G52" s="6"/>
      <c r="H52" s="6" t="s">
        <v>351</v>
      </c>
      <c r="I52" s="6" t="s">
        <v>352</v>
      </c>
      <c r="J52" s="6" t="s">
        <v>353</v>
      </c>
      <c r="K52" s="6"/>
      <c r="L52" s="6" t="s">
        <v>354</v>
      </c>
      <c r="M52" s="6"/>
      <c r="N52" s="6" t="s">
        <v>355</v>
      </c>
      <c r="O52" s="6"/>
      <c r="P52" s="6" t="s">
        <v>356</v>
      </c>
      <c r="Q52" s="6" t="s">
        <v>357</v>
      </c>
    </row>
    <row r="53" customFormat="false" ht="39.55" hidden="false" customHeight="false" outlineLevel="0" collapsed="false">
      <c r="A53" s="2" t="s">
        <v>358</v>
      </c>
      <c r="B53" s="2" t="s">
        <v>359</v>
      </c>
      <c r="C53" s="2" t="s">
        <v>350</v>
      </c>
      <c r="D53" s="2" t="s">
        <v>263</v>
      </c>
      <c r="E53" s="4" t="s">
        <v>33</v>
      </c>
      <c r="F53" s="2"/>
      <c r="G53" s="2"/>
      <c r="H53" s="2" t="s">
        <v>360</v>
      </c>
      <c r="I53" s="2" t="s">
        <v>361</v>
      </c>
      <c r="J53" s="2" t="s">
        <v>362</v>
      </c>
      <c r="K53" s="2"/>
      <c r="L53" s="2" t="s">
        <v>363</v>
      </c>
      <c r="M53" s="2"/>
      <c r="N53" s="2" t="s">
        <v>364</v>
      </c>
      <c r="O53" s="2"/>
      <c r="P53" s="2" t="s">
        <v>365</v>
      </c>
      <c r="Q53" s="2" t="s">
        <v>366</v>
      </c>
    </row>
    <row r="54" customFormat="false" ht="39.55" hidden="false" customHeight="false" outlineLevel="0" collapsed="false">
      <c r="A54" s="6" t="s">
        <v>367</v>
      </c>
      <c r="B54" s="6" t="s">
        <v>368</v>
      </c>
      <c r="C54" s="6" t="s">
        <v>350</v>
      </c>
      <c r="D54" s="6" t="s">
        <v>263</v>
      </c>
      <c r="E54" s="3" t="s">
        <v>21</v>
      </c>
      <c r="F54" s="6" t="n">
        <v>2026</v>
      </c>
      <c r="G54" s="6"/>
      <c r="H54" s="6" t="s">
        <v>369</v>
      </c>
      <c r="I54" s="6" t="s">
        <v>370</v>
      </c>
      <c r="J54" s="6" t="s">
        <v>371</v>
      </c>
      <c r="K54" s="6"/>
      <c r="L54" s="6" t="s">
        <v>372</v>
      </c>
      <c r="M54" s="6"/>
      <c r="N54" s="6" t="s">
        <v>373</v>
      </c>
      <c r="O54" s="6"/>
      <c r="P54" s="6" t="s">
        <v>374</v>
      </c>
      <c r="Q54" s="6" t="s">
        <v>375</v>
      </c>
    </row>
    <row r="55" customFormat="false" ht="39.55" hidden="false" customHeight="false" outlineLevel="0" collapsed="false">
      <c r="A55" s="2" t="s">
        <v>376</v>
      </c>
      <c r="B55" s="2" t="s">
        <v>115</v>
      </c>
      <c r="C55" s="2" t="s">
        <v>262</v>
      </c>
      <c r="D55" s="2" t="s">
        <v>263</v>
      </c>
      <c r="E55" s="5" t="s">
        <v>45</v>
      </c>
      <c r="F55" s="2"/>
      <c r="G55" s="2"/>
      <c r="H55" s="2" t="s">
        <v>377</v>
      </c>
      <c r="I55" s="2" t="s">
        <v>378</v>
      </c>
      <c r="J55" s="2" t="s">
        <v>379</v>
      </c>
      <c r="K55" s="2"/>
      <c r="L55" s="2" t="s">
        <v>380</v>
      </c>
      <c r="M55" s="2"/>
      <c r="N55" s="2" t="s">
        <v>381</v>
      </c>
      <c r="O55" s="2"/>
      <c r="P55" s="2" t="s">
        <v>382</v>
      </c>
      <c r="Q55" s="2"/>
    </row>
    <row r="56" customFormat="false" ht="39.55" hidden="false" customHeight="false" outlineLevel="0" collapsed="false">
      <c r="A56" s="6" t="s">
        <v>383</v>
      </c>
      <c r="B56" s="6" t="s">
        <v>384</v>
      </c>
      <c r="C56" s="6" t="s">
        <v>350</v>
      </c>
      <c r="D56" s="6" t="s">
        <v>263</v>
      </c>
      <c r="E56" s="3" t="s">
        <v>21</v>
      </c>
      <c r="F56" s="6" t="n">
        <v>2025</v>
      </c>
      <c r="G56" s="6"/>
      <c r="H56" s="6" t="s">
        <v>385</v>
      </c>
      <c r="I56" s="6" t="s">
        <v>386</v>
      </c>
      <c r="J56" s="6" t="s">
        <v>387</v>
      </c>
      <c r="K56" s="6"/>
      <c r="L56" s="6" t="s">
        <v>388</v>
      </c>
      <c r="M56" s="6"/>
      <c r="N56" s="6" t="s">
        <v>389</v>
      </c>
      <c r="O56" s="6"/>
      <c r="P56" s="6" t="s">
        <v>390</v>
      </c>
      <c r="Q56" s="6" t="s">
        <v>391</v>
      </c>
    </row>
    <row r="57" customFormat="false" ht="39.55" hidden="false" customHeight="false" outlineLevel="0" collapsed="false">
      <c r="A57" s="2" t="s">
        <v>392</v>
      </c>
      <c r="B57" s="2" t="s">
        <v>102</v>
      </c>
      <c r="C57" s="2" t="s">
        <v>350</v>
      </c>
      <c r="D57" s="2" t="s">
        <v>263</v>
      </c>
      <c r="E57" s="3" t="s">
        <v>21</v>
      </c>
      <c r="F57" s="2"/>
      <c r="G57" s="2"/>
      <c r="H57" s="2" t="s">
        <v>385</v>
      </c>
      <c r="I57" s="2" t="s">
        <v>386</v>
      </c>
      <c r="J57" s="2" t="s">
        <v>387</v>
      </c>
      <c r="K57" s="2"/>
      <c r="L57" s="2" t="s">
        <v>388</v>
      </c>
      <c r="M57" s="2"/>
      <c r="N57" s="2" t="s">
        <v>393</v>
      </c>
      <c r="O57" s="2"/>
      <c r="P57" s="2" t="s">
        <v>394</v>
      </c>
      <c r="Q57" s="2" t="s">
        <v>395</v>
      </c>
    </row>
    <row r="58" customFormat="false" ht="39.55" hidden="false" customHeight="false" outlineLevel="0" collapsed="false">
      <c r="A58" s="6" t="s">
        <v>396</v>
      </c>
      <c r="B58" s="6" t="s">
        <v>148</v>
      </c>
      <c r="C58" s="6" t="s">
        <v>273</v>
      </c>
      <c r="D58" s="6" t="s">
        <v>263</v>
      </c>
      <c r="E58" s="3" t="s">
        <v>21</v>
      </c>
      <c r="F58" s="6"/>
      <c r="G58" s="6"/>
      <c r="H58" s="6" t="s">
        <v>274</v>
      </c>
      <c r="I58" s="6" t="s">
        <v>397</v>
      </c>
      <c r="J58" s="6" t="s">
        <v>276</v>
      </c>
      <c r="K58" s="6"/>
      <c r="L58" s="6" t="s">
        <v>277</v>
      </c>
      <c r="M58" s="6"/>
      <c r="N58" s="6" t="s">
        <v>398</v>
      </c>
      <c r="O58" s="6"/>
      <c r="P58" s="6" t="s">
        <v>399</v>
      </c>
      <c r="Q58" s="6" t="s">
        <v>400</v>
      </c>
    </row>
    <row r="59" customFormat="false" ht="39.55" hidden="false" customHeight="false" outlineLevel="0" collapsed="false">
      <c r="A59" s="2" t="s">
        <v>401</v>
      </c>
      <c r="B59" s="2" t="s">
        <v>402</v>
      </c>
      <c r="C59" s="2" t="s">
        <v>290</v>
      </c>
      <c r="D59" s="2" t="s">
        <v>263</v>
      </c>
      <c r="E59" s="5" t="s">
        <v>45</v>
      </c>
      <c r="F59" s="2" t="n">
        <v>2024</v>
      </c>
      <c r="G59" s="2"/>
      <c r="H59" s="2" t="s">
        <v>291</v>
      </c>
      <c r="I59" s="2" t="s">
        <v>403</v>
      </c>
      <c r="J59" s="2" t="s">
        <v>293</v>
      </c>
      <c r="K59" s="2"/>
      <c r="L59" s="2" t="s">
        <v>294</v>
      </c>
      <c r="M59" s="2"/>
      <c r="N59" s="2" t="s">
        <v>404</v>
      </c>
      <c r="O59" s="2"/>
      <c r="P59" s="2" t="s">
        <v>405</v>
      </c>
      <c r="Q59" s="2" t="s">
        <v>406</v>
      </c>
    </row>
    <row r="60" customFormat="false" ht="39.55" hidden="false" customHeight="false" outlineLevel="0" collapsed="false">
      <c r="A60" s="6" t="s">
        <v>407</v>
      </c>
      <c r="B60" s="6" t="s">
        <v>408</v>
      </c>
      <c r="C60" s="6" t="s">
        <v>273</v>
      </c>
      <c r="D60" s="6" t="s">
        <v>263</v>
      </c>
      <c r="E60" s="3" t="s">
        <v>21</v>
      </c>
      <c r="F60" s="6"/>
      <c r="G60" s="6"/>
      <c r="H60" s="6" t="s">
        <v>317</v>
      </c>
      <c r="I60" s="6" t="s">
        <v>318</v>
      </c>
      <c r="J60" s="6" t="s">
        <v>319</v>
      </c>
      <c r="K60" s="6"/>
      <c r="L60" s="6" t="s">
        <v>320</v>
      </c>
      <c r="M60" s="6"/>
      <c r="N60" s="6" t="s">
        <v>409</v>
      </c>
      <c r="O60" s="6"/>
      <c r="P60" s="6" t="s">
        <v>410</v>
      </c>
      <c r="Q60" s="6" t="s">
        <v>411</v>
      </c>
    </row>
    <row r="61" customFormat="false" ht="39.55" hidden="false" customHeight="false" outlineLevel="0" collapsed="false">
      <c r="A61" s="2" t="s">
        <v>412</v>
      </c>
      <c r="B61" s="2" t="s">
        <v>158</v>
      </c>
      <c r="C61" s="2" t="s">
        <v>273</v>
      </c>
      <c r="D61" s="2" t="s">
        <v>263</v>
      </c>
      <c r="E61" s="3" t="s">
        <v>21</v>
      </c>
      <c r="F61" s="2"/>
      <c r="G61" s="2"/>
      <c r="H61" s="2" t="s">
        <v>317</v>
      </c>
      <c r="I61" s="2" t="s">
        <v>413</v>
      </c>
      <c r="J61" s="2" t="s">
        <v>319</v>
      </c>
      <c r="K61" s="2"/>
      <c r="L61" s="2" t="s">
        <v>320</v>
      </c>
      <c r="M61" s="2"/>
      <c r="N61" s="2" t="s">
        <v>414</v>
      </c>
      <c r="O61" s="2"/>
      <c r="P61" s="2" t="s">
        <v>415</v>
      </c>
      <c r="Q61" s="2" t="s">
        <v>416</v>
      </c>
    </row>
    <row r="62" customFormat="false" ht="39.55" hidden="false" customHeight="false" outlineLevel="0" collapsed="false">
      <c r="A62" s="6" t="s">
        <v>417</v>
      </c>
      <c r="B62" s="6" t="s">
        <v>115</v>
      </c>
      <c r="C62" s="6" t="s">
        <v>290</v>
      </c>
      <c r="D62" s="6" t="s">
        <v>263</v>
      </c>
      <c r="E62" s="5" t="s">
        <v>45</v>
      </c>
      <c r="F62" s="6"/>
      <c r="G62" s="6"/>
      <c r="H62" s="6" t="s">
        <v>418</v>
      </c>
      <c r="I62" s="6" t="s">
        <v>419</v>
      </c>
      <c r="J62" s="6" t="s">
        <v>420</v>
      </c>
      <c r="K62" s="6"/>
      <c r="L62" s="6" t="s">
        <v>421</v>
      </c>
      <c r="M62" s="6"/>
      <c r="N62" s="6" t="s">
        <v>422</v>
      </c>
      <c r="O62" s="6"/>
      <c r="P62" s="6" t="s">
        <v>423</v>
      </c>
      <c r="Q62" s="6"/>
    </row>
    <row r="63" customFormat="false" ht="39.55" hidden="false" customHeight="false" outlineLevel="0" collapsed="false">
      <c r="A63" s="2" t="s">
        <v>424</v>
      </c>
      <c r="B63" s="2" t="s">
        <v>425</v>
      </c>
      <c r="C63" s="2" t="s">
        <v>262</v>
      </c>
      <c r="D63" s="2" t="s">
        <v>263</v>
      </c>
      <c r="E63" s="5" t="s">
        <v>45</v>
      </c>
      <c r="F63" s="2" t="n">
        <v>2024</v>
      </c>
      <c r="G63" s="2"/>
      <c r="H63" s="2" t="s">
        <v>426</v>
      </c>
      <c r="I63" s="2" t="s">
        <v>427</v>
      </c>
      <c r="J63" s="2" t="s">
        <v>428</v>
      </c>
      <c r="K63" s="2"/>
      <c r="L63" s="2" t="s">
        <v>429</v>
      </c>
      <c r="M63" s="2"/>
      <c r="N63" s="2" t="s">
        <v>430</v>
      </c>
      <c r="O63" s="2"/>
      <c r="P63" s="2" t="s">
        <v>431</v>
      </c>
      <c r="Q63" s="2" t="s">
        <v>432</v>
      </c>
    </row>
    <row r="64" customFormat="false" ht="39.55" hidden="false" customHeight="false" outlineLevel="0" collapsed="false">
      <c r="A64" s="6" t="s">
        <v>433</v>
      </c>
      <c r="B64" s="6" t="s">
        <v>115</v>
      </c>
      <c r="C64" s="6" t="s">
        <v>290</v>
      </c>
      <c r="D64" s="6" t="s">
        <v>263</v>
      </c>
      <c r="E64" s="5" t="s">
        <v>45</v>
      </c>
      <c r="F64" s="6"/>
      <c r="G64" s="6"/>
      <c r="H64" s="6" t="s">
        <v>291</v>
      </c>
      <c r="I64" s="6" t="s">
        <v>434</v>
      </c>
      <c r="J64" s="6" t="s">
        <v>293</v>
      </c>
      <c r="K64" s="6"/>
      <c r="L64" s="6" t="s">
        <v>294</v>
      </c>
      <c r="M64" s="6"/>
      <c r="N64" s="6" t="s">
        <v>435</v>
      </c>
      <c r="O64" s="6"/>
      <c r="P64" s="6" t="s">
        <v>436</v>
      </c>
      <c r="Q64" s="6"/>
    </row>
    <row r="65" customFormat="false" ht="39.55" hidden="false" customHeight="false" outlineLevel="0" collapsed="false">
      <c r="A65" s="2" t="s">
        <v>437</v>
      </c>
      <c r="B65" s="2" t="s">
        <v>402</v>
      </c>
      <c r="C65" s="2" t="s">
        <v>290</v>
      </c>
      <c r="D65" s="2" t="s">
        <v>263</v>
      </c>
      <c r="E65" s="3" t="s">
        <v>21</v>
      </c>
      <c r="F65" s="2"/>
      <c r="G65" s="2"/>
      <c r="H65" s="2" t="s">
        <v>291</v>
      </c>
      <c r="I65" s="2" t="s">
        <v>403</v>
      </c>
      <c r="J65" s="2" t="s">
        <v>293</v>
      </c>
      <c r="K65" s="2"/>
      <c r="L65" s="2" t="s">
        <v>294</v>
      </c>
      <c r="M65" s="2"/>
      <c r="N65" s="2" t="s">
        <v>438</v>
      </c>
      <c r="O65" s="2"/>
      <c r="P65" s="2" t="s">
        <v>439</v>
      </c>
      <c r="Q65" s="2" t="s">
        <v>440</v>
      </c>
    </row>
    <row r="66" customFormat="false" ht="39.55" hidden="false" customHeight="false" outlineLevel="0" collapsed="false">
      <c r="A66" s="6" t="s">
        <v>441</v>
      </c>
      <c r="B66" s="6" t="s">
        <v>442</v>
      </c>
      <c r="C66" s="6" t="s">
        <v>350</v>
      </c>
      <c r="D66" s="6" t="s">
        <v>263</v>
      </c>
      <c r="E66" s="3" t="s">
        <v>21</v>
      </c>
      <c r="F66" s="6"/>
      <c r="G66" s="6"/>
      <c r="H66" s="6" t="s">
        <v>443</v>
      </c>
      <c r="I66" s="6" t="s">
        <v>444</v>
      </c>
      <c r="J66" s="6" t="s">
        <v>445</v>
      </c>
      <c r="K66" s="6"/>
      <c r="L66" s="6" t="s">
        <v>446</v>
      </c>
      <c r="M66" s="6"/>
      <c r="N66" s="6" t="s">
        <v>447</v>
      </c>
      <c r="O66" s="6"/>
      <c r="P66" s="6" t="s">
        <v>448</v>
      </c>
      <c r="Q66" s="6" t="s">
        <v>449</v>
      </c>
    </row>
    <row r="67" customFormat="false" ht="39.55" hidden="false" customHeight="false" outlineLevel="0" collapsed="false">
      <c r="A67" s="2" t="s">
        <v>450</v>
      </c>
      <c r="B67" s="2" t="s">
        <v>230</v>
      </c>
      <c r="C67" s="2" t="s">
        <v>262</v>
      </c>
      <c r="D67" s="2" t="s">
        <v>263</v>
      </c>
      <c r="E67" s="5" t="s">
        <v>45</v>
      </c>
      <c r="F67" s="2"/>
      <c r="G67" s="2"/>
      <c r="H67" s="2" t="s">
        <v>377</v>
      </c>
      <c r="I67" s="2" t="s">
        <v>451</v>
      </c>
      <c r="J67" s="2" t="s">
        <v>379</v>
      </c>
      <c r="K67" s="2"/>
      <c r="L67" s="2" t="s">
        <v>380</v>
      </c>
      <c r="M67" s="2"/>
      <c r="N67" s="2" t="s">
        <v>452</v>
      </c>
      <c r="O67" s="2"/>
      <c r="P67" s="2" t="s">
        <v>453</v>
      </c>
      <c r="Q67" s="2"/>
    </row>
    <row r="68" customFormat="false" ht="39.55" hidden="false" customHeight="false" outlineLevel="0" collapsed="false">
      <c r="A68" s="6" t="s">
        <v>454</v>
      </c>
      <c r="B68" s="6" t="s">
        <v>115</v>
      </c>
      <c r="C68" s="6" t="s">
        <v>455</v>
      </c>
      <c r="D68" s="6" t="s">
        <v>263</v>
      </c>
      <c r="E68" s="5" t="s">
        <v>45</v>
      </c>
      <c r="F68" s="6"/>
      <c r="G68" s="6"/>
      <c r="H68" s="6" t="s">
        <v>456</v>
      </c>
      <c r="I68" s="6" t="s">
        <v>457</v>
      </c>
      <c r="J68" s="6" t="s">
        <v>458</v>
      </c>
      <c r="K68" s="6"/>
      <c r="L68" s="6" t="s">
        <v>459</v>
      </c>
      <c r="M68" s="6"/>
      <c r="N68" s="6" t="s">
        <v>460</v>
      </c>
      <c r="O68" s="6"/>
      <c r="P68" s="6" t="s">
        <v>461</v>
      </c>
      <c r="Q68" s="6"/>
    </row>
    <row r="69" customFormat="false" ht="39.55" hidden="false" customHeight="false" outlineLevel="0" collapsed="false">
      <c r="A69" s="2" t="s">
        <v>462</v>
      </c>
      <c r="B69" s="2" t="s">
        <v>463</v>
      </c>
      <c r="C69" s="2" t="s">
        <v>464</v>
      </c>
      <c r="D69" s="2" t="s">
        <v>263</v>
      </c>
      <c r="E69" s="4" t="s">
        <v>33</v>
      </c>
      <c r="F69" s="2"/>
      <c r="G69" s="2"/>
      <c r="H69" s="2" t="s">
        <v>465</v>
      </c>
      <c r="I69" s="2" t="s">
        <v>466</v>
      </c>
      <c r="J69" s="2" t="s">
        <v>467</v>
      </c>
      <c r="K69" s="2"/>
      <c r="L69" s="2" t="s">
        <v>468</v>
      </c>
      <c r="M69" s="2"/>
      <c r="N69" s="2" t="s">
        <v>469</v>
      </c>
      <c r="O69" s="2"/>
      <c r="P69" s="2" t="s">
        <v>470</v>
      </c>
      <c r="Q69" s="2" t="s">
        <v>471</v>
      </c>
    </row>
    <row r="70" customFormat="false" ht="39.55" hidden="false" customHeight="false" outlineLevel="0" collapsed="false">
      <c r="A70" s="6" t="s">
        <v>472</v>
      </c>
      <c r="B70" s="6" t="s">
        <v>341</v>
      </c>
      <c r="C70" s="6" t="s">
        <v>273</v>
      </c>
      <c r="D70" s="6" t="s">
        <v>263</v>
      </c>
      <c r="E70" s="3" t="s">
        <v>21</v>
      </c>
      <c r="F70" s="6" t="n">
        <v>2025</v>
      </c>
      <c r="G70" s="6"/>
      <c r="H70" s="6" t="s">
        <v>342</v>
      </c>
      <c r="I70" s="6" t="s">
        <v>473</v>
      </c>
      <c r="J70" s="6" t="s">
        <v>344</v>
      </c>
      <c r="K70" s="6"/>
      <c r="L70" s="6" t="s">
        <v>345</v>
      </c>
      <c r="M70" s="6"/>
      <c r="N70" s="6" t="s">
        <v>474</v>
      </c>
      <c r="O70" s="6"/>
      <c r="P70" s="6" t="s">
        <v>475</v>
      </c>
      <c r="Q70" s="6" t="s">
        <v>476</v>
      </c>
    </row>
    <row r="71" customFormat="false" ht="39.55" hidden="false" customHeight="false" outlineLevel="0" collapsed="false">
      <c r="A71" s="2" t="s">
        <v>477</v>
      </c>
      <c r="B71" s="2" t="s">
        <v>341</v>
      </c>
      <c r="C71" s="2" t="s">
        <v>273</v>
      </c>
      <c r="D71" s="2" t="s">
        <v>263</v>
      </c>
      <c r="E71" s="3" t="s">
        <v>21</v>
      </c>
      <c r="F71" s="2"/>
      <c r="G71" s="2"/>
      <c r="H71" s="2" t="s">
        <v>342</v>
      </c>
      <c r="I71" s="2" t="s">
        <v>473</v>
      </c>
      <c r="J71" s="2" t="s">
        <v>344</v>
      </c>
      <c r="K71" s="2"/>
      <c r="L71" s="2" t="s">
        <v>345</v>
      </c>
      <c r="M71" s="2"/>
      <c r="N71" s="2" t="s">
        <v>478</v>
      </c>
      <c r="O71" s="2"/>
      <c r="P71" s="2" t="s">
        <v>479</v>
      </c>
      <c r="Q71" s="2" t="s">
        <v>280</v>
      </c>
    </row>
    <row r="72" customFormat="false" ht="39.55" hidden="false" customHeight="false" outlineLevel="0" collapsed="false">
      <c r="A72" s="6" t="s">
        <v>480</v>
      </c>
      <c r="B72" s="6" t="s">
        <v>341</v>
      </c>
      <c r="C72" s="6" t="s">
        <v>273</v>
      </c>
      <c r="D72" s="6" t="s">
        <v>263</v>
      </c>
      <c r="E72" s="3" t="s">
        <v>21</v>
      </c>
      <c r="F72" s="6" t="n">
        <v>2025</v>
      </c>
      <c r="G72" s="6"/>
      <c r="H72" s="6" t="s">
        <v>342</v>
      </c>
      <c r="I72" s="6" t="s">
        <v>473</v>
      </c>
      <c r="J72" s="6" t="s">
        <v>344</v>
      </c>
      <c r="K72" s="6"/>
      <c r="L72" s="6" t="s">
        <v>345</v>
      </c>
      <c r="M72" s="6"/>
      <c r="N72" s="6" t="s">
        <v>481</v>
      </c>
      <c r="O72" s="6"/>
      <c r="P72" s="6" t="s">
        <v>482</v>
      </c>
      <c r="Q72" s="6" t="s">
        <v>483</v>
      </c>
    </row>
    <row r="73" customFormat="false" ht="39.55" hidden="false" customHeight="false" outlineLevel="0" collapsed="false">
      <c r="A73" s="2" t="s">
        <v>484</v>
      </c>
      <c r="B73" s="2" t="s">
        <v>442</v>
      </c>
      <c r="C73" s="2" t="s">
        <v>350</v>
      </c>
      <c r="D73" s="2" t="s">
        <v>263</v>
      </c>
      <c r="E73" s="3" t="s">
        <v>21</v>
      </c>
      <c r="F73" s="2"/>
      <c r="G73" s="2"/>
      <c r="H73" s="2" t="s">
        <v>443</v>
      </c>
      <c r="I73" s="2" t="s">
        <v>444</v>
      </c>
      <c r="J73" s="2" t="s">
        <v>445</v>
      </c>
      <c r="K73" s="2"/>
      <c r="L73" s="2" t="s">
        <v>446</v>
      </c>
      <c r="M73" s="2"/>
      <c r="N73" s="2" t="s">
        <v>485</v>
      </c>
      <c r="O73" s="2"/>
      <c r="P73" s="2" t="s">
        <v>486</v>
      </c>
      <c r="Q73" s="2" t="s">
        <v>487</v>
      </c>
    </row>
    <row r="74" customFormat="false" ht="39.55" hidden="false" customHeight="false" outlineLevel="0" collapsed="false">
      <c r="A74" s="6" t="s">
        <v>488</v>
      </c>
      <c r="B74" s="6" t="s">
        <v>442</v>
      </c>
      <c r="C74" s="6" t="s">
        <v>350</v>
      </c>
      <c r="D74" s="6" t="s">
        <v>263</v>
      </c>
      <c r="E74" s="3" t="s">
        <v>21</v>
      </c>
      <c r="F74" s="6"/>
      <c r="G74" s="6"/>
      <c r="H74" s="6" t="s">
        <v>443</v>
      </c>
      <c r="I74" s="6" t="s">
        <v>444</v>
      </c>
      <c r="J74" s="6" t="s">
        <v>445</v>
      </c>
      <c r="K74" s="6"/>
      <c r="L74" s="6" t="s">
        <v>446</v>
      </c>
      <c r="M74" s="6"/>
      <c r="N74" s="6" t="s">
        <v>489</v>
      </c>
      <c r="O74" s="6"/>
      <c r="P74" s="6" t="s">
        <v>490</v>
      </c>
      <c r="Q74" s="6" t="s">
        <v>487</v>
      </c>
    </row>
    <row r="75" customFormat="false" ht="39.55" hidden="false" customHeight="false" outlineLevel="0" collapsed="false">
      <c r="A75" s="2" t="s">
        <v>491</v>
      </c>
      <c r="B75" s="2" t="s">
        <v>492</v>
      </c>
      <c r="C75" s="2" t="s">
        <v>273</v>
      </c>
      <c r="D75" s="2" t="s">
        <v>263</v>
      </c>
      <c r="E75" s="3" t="s">
        <v>21</v>
      </c>
      <c r="F75" s="2"/>
      <c r="G75" s="2"/>
      <c r="H75" s="2" t="s">
        <v>493</v>
      </c>
      <c r="I75" s="2" t="s">
        <v>494</v>
      </c>
      <c r="J75" s="2" t="s">
        <v>495</v>
      </c>
      <c r="K75" s="2"/>
      <c r="L75" s="2" t="s">
        <v>496</v>
      </c>
      <c r="M75" s="2"/>
      <c r="N75" s="2" t="s">
        <v>497</v>
      </c>
      <c r="O75" s="2"/>
      <c r="P75" s="2" t="s">
        <v>498</v>
      </c>
      <c r="Q75" s="2"/>
    </row>
    <row r="76" customFormat="false" ht="39.55" hidden="false" customHeight="false" outlineLevel="0" collapsed="false">
      <c r="A76" s="6" t="s">
        <v>499</v>
      </c>
      <c r="B76" s="6" t="s">
        <v>341</v>
      </c>
      <c r="C76" s="6" t="s">
        <v>273</v>
      </c>
      <c r="D76" s="6" t="s">
        <v>263</v>
      </c>
      <c r="E76" s="3" t="s">
        <v>21</v>
      </c>
      <c r="F76" s="6"/>
      <c r="G76" s="6"/>
      <c r="H76" s="6" t="s">
        <v>342</v>
      </c>
      <c r="I76" s="6" t="s">
        <v>473</v>
      </c>
      <c r="J76" s="6" t="s">
        <v>344</v>
      </c>
      <c r="K76" s="6"/>
      <c r="L76" s="6" t="s">
        <v>345</v>
      </c>
      <c r="M76" s="6"/>
      <c r="N76" s="6" t="s">
        <v>500</v>
      </c>
      <c r="O76" s="6"/>
      <c r="P76" s="6" t="s">
        <v>501</v>
      </c>
      <c r="Q76" s="6" t="s">
        <v>502</v>
      </c>
    </row>
    <row r="77" customFormat="false" ht="39.55" hidden="false" customHeight="false" outlineLevel="0" collapsed="false">
      <c r="A77" s="2" t="s">
        <v>503</v>
      </c>
      <c r="B77" s="2" t="s">
        <v>425</v>
      </c>
      <c r="C77" s="2" t="s">
        <v>290</v>
      </c>
      <c r="D77" s="2" t="s">
        <v>263</v>
      </c>
      <c r="E77" s="3" t="s">
        <v>21</v>
      </c>
      <c r="F77" s="2"/>
      <c r="G77" s="2"/>
      <c r="H77" s="2" t="s">
        <v>504</v>
      </c>
      <c r="I77" s="2" t="s">
        <v>505</v>
      </c>
      <c r="J77" s="2" t="s">
        <v>506</v>
      </c>
      <c r="K77" s="2"/>
      <c r="L77" s="2" t="s">
        <v>507</v>
      </c>
      <c r="M77" s="2"/>
      <c r="N77" s="2" t="s">
        <v>508</v>
      </c>
      <c r="O77" s="2"/>
      <c r="P77" s="2" t="s">
        <v>509</v>
      </c>
      <c r="Q77" s="2"/>
    </row>
    <row r="78" customFormat="false" ht="39.55" hidden="false" customHeight="false" outlineLevel="0" collapsed="false">
      <c r="A78" s="6" t="s">
        <v>510</v>
      </c>
      <c r="B78" s="6" t="s">
        <v>511</v>
      </c>
      <c r="C78" s="6" t="s">
        <v>273</v>
      </c>
      <c r="D78" s="6" t="s">
        <v>263</v>
      </c>
      <c r="E78" s="3" t="s">
        <v>21</v>
      </c>
      <c r="F78" s="6"/>
      <c r="G78" s="6"/>
      <c r="H78" s="6" t="s">
        <v>512</v>
      </c>
      <c r="I78" s="6" t="s">
        <v>513</v>
      </c>
      <c r="J78" s="6" t="s">
        <v>514</v>
      </c>
      <c r="K78" s="6"/>
      <c r="L78" s="6" t="s">
        <v>515</v>
      </c>
      <c r="M78" s="6"/>
      <c r="N78" s="6" t="s">
        <v>516</v>
      </c>
      <c r="O78" s="6"/>
      <c r="P78" s="6" t="s">
        <v>517</v>
      </c>
      <c r="Q78" s="6" t="s">
        <v>518</v>
      </c>
    </row>
    <row r="79" customFormat="false" ht="39.55" hidden="false" customHeight="false" outlineLevel="0" collapsed="false">
      <c r="A79" s="2" t="s">
        <v>519</v>
      </c>
      <c r="B79" s="2" t="s">
        <v>511</v>
      </c>
      <c r="C79" s="2" t="s">
        <v>350</v>
      </c>
      <c r="D79" s="2" t="s">
        <v>263</v>
      </c>
      <c r="E79" s="4" t="s">
        <v>33</v>
      </c>
      <c r="F79" s="2" t="n">
        <v>2027</v>
      </c>
      <c r="G79" s="2"/>
      <c r="H79" s="2" t="s">
        <v>385</v>
      </c>
      <c r="I79" s="2" t="s">
        <v>386</v>
      </c>
      <c r="J79" s="2" t="s">
        <v>387</v>
      </c>
      <c r="K79" s="2"/>
      <c r="L79" s="2" t="s">
        <v>388</v>
      </c>
      <c r="M79" s="2"/>
      <c r="N79" s="2" t="s">
        <v>520</v>
      </c>
      <c r="O79" s="2"/>
      <c r="P79" s="2" t="s">
        <v>521</v>
      </c>
      <c r="Q79" s="2"/>
    </row>
    <row r="80" customFormat="false" ht="39.55" hidden="false" customHeight="false" outlineLevel="0" collapsed="false">
      <c r="A80" s="6" t="s">
        <v>522</v>
      </c>
      <c r="B80" s="6" t="s">
        <v>523</v>
      </c>
      <c r="C80" s="6" t="s">
        <v>464</v>
      </c>
      <c r="D80" s="6" t="s">
        <v>263</v>
      </c>
      <c r="E80" s="4" t="s">
        <v>33</v>
      </c>
      <c r="F80" s="6"/>
      <c r="G80" s="6"/>
      <c r="H80" s="6" t="s">
        <v>465</v>
      </c>
      <c r="I80" s="6" t="s">
        <v>466</v>
      </c>
      <c r="J80" s="6" t="s">
        <v>467</v>
      </c>
      <c r="K80" s="6"/>
      <c r="L80" s="6" t="s">
        <v>468</v>
      </c>
      <c r="M80" s="6"/>
      <c r="N80" s="6" t="s">
        <v>524</v>
      </c>
      <c r="O80" s="6"/>
      <c r="P80" s="6" t="s">
        <v>525</v>
      </c>
      <c r="Q80" s="6" t="s">
        <v>526</v>
      </c>
    </row>
    <row r="81" customFormat="false" ht="39.55" hidden="false" customHeight="false" outlineLevel="0" collapsed="false">
      <c r="A81" s="2" t="s">
        <v>527</v>
      </c>
      <c r="B81" s="2" t="s">
        <v>528</v>
      </c>
      <c r="C81" s="2" t="s">
        <v>262</v>
      </c>
      <c r="D81" s="2" t="s">
        <v>263</v>
      </c>
      <c r="E81" s="3" t="s">
        <v>21</v>
      </c>
      <c r="F81" s="2"/>
      <c r="G81" s="2"/>
      <c r="H81" s="2" t="s">
        <v>385</v>
      </c>
      <c r="I81" s="2" t="s">
        <v>529</v>
      </c>
      <c r="J81" s="2" t="s">
        <v>387</v>
      </c>
      <c r="K81" s="2"/>
      <c r="L81" s="2" t="s">
        <v>388</v>
      </c>
      <c r="M81" s="2"/>
      <c r="N81" s="2" t="s">
        <v>530</v>
      </c>
      <c r="O81" s="2"/>
      <c r="P81" s="2" t="s">
        <v>531</v>
      </c>
      <c r="Q81" s="2" t="s">
        <v>532</v>
      </c>
    </row>
    <row r="82" customFormat="false" ht="39.55" hidden="false" customHeight="false" outlineLevel="0" collapsed="false">
      <c r="A82" s="6" t="s">
        <v>533</v>
      </c>
      <c r="B82" s="6" t="s">
        <v>425</v>
      </c>
      <c r="C82" s="6" t="s">
        <v>262</v>
      </c>
      <c r="D82" s="6" t="s">
        <v>263</v>
      </c>
      <c r="E82" s="5" t="s">
        <v>45</v>
      </c>
      <c r="F82" s="6"/>
      <c r="G82" s="6"/>
      <c r="H82" s="6" t="s">
        <v>426</v>
      </c>
      <c r="I82" s="6" t="s">
        <v>427</v>
      </c>
      <c r="J82" s="6" t="s">
        <v>428</v>
      </c>
      <c r="K82" s="6"/>
      <c r="L82" s="6" t="s">
        <v>429</v>
      </c>
      <c r="M82" s="6"/>
      <c r="N82" s="6" t="s">
        <v>534</v>
      </c>
      <c r="O82" s="6"/>
      <c r="P82" s="6" t="s">
        <v>535</v>
      </c>
      <c r="Q82" s="6" t="s">
        <v>536</v>
      </c>
    </row>
    <row r="83" customFormat="false" ht="39.55" hidden="false" customHeight="false" outlineLevel="0" collapsed="false">
      <c r="A83" s="2" t="s">
        <v>537</v>
      </c>
      <c r="B83" s="2" t="s">
        <v>425</v>
      </c>
      <c r="C83" s="2" t="s">
        <v>262</v>
      </c>
      <c r="D83" s="2" t="s">
        <v>263</v>
      </c>
      <c r="E83" s="5" t="s">
        <v>45</v>
      </c>
      <c r="F83" s="2"/>
      <c r="G83" s="2"/>
      <c r="H83" s="2" t="s">
        <v>426</v>
      </c>
      <c r="I83" s="2" t="s">
        <v>427</v>
      </c>
      <c r="J83" s="2" t="s">
        <v>428</v>
      </c>
      <c r="K83" s="2"/>
      <c r="L83" s="2" t="s">
        <v>429</v>
      </c>
      <c r="M83" s="2"/>
      <c r="N83" s="2" t="s">
        <v>538</v>
      </c>
      <c r="O83" s="2"/>
      <c r="P83" s="2" t="s">
        <v>539</v>
      </c>
      <c r="Q83" s="2" t="s">
        <v>536</v>
      </c>
    </row>
    <row r="84" customFormat="false" ht="39.55" hidden="false" customHeight="false" outlineLevel="0" collapsed="false">
      <c r="A84" s="6" t="s">
        <v>540</v>
      </c>
      <c r="B84" s="6" t="s">
        <v>425</v>
      </c>
      <c r="C84" s="6" t="s">
        <v>262</v>
      </c>
      <c r="D84" s="6" t="s">
        <v>263</v>
      </c>
      <c r="E84" s="5" t="s">
        <v>45</v>
      </c>
      <c r="F84" s="6"/>
      <c r="G84" s="6"/>
      <c r="H84" s="6" t="s">
        <v>426</v>
      </c>
      <c r="I84" s="6" t="s">
        <v>427</v>
      </c>
      <c r="J84" s="6" t="s">
        <v>428</v>
      </c>
      <c r="K84" s="6"/>
      <c r="L84" s="6" t="s">
        <v>429</v>
      </c>
      <c r="M84" s="6"/>
      <c r="N84" s="6" t="s">
        <v>541</v>
      </c>
      <c r="O84" s="6"/>
      <c r="P84" s="6" t="s">
        <v>542</v>
      </c>
      <c r="Q84" s="6" t="s">
        <v>536</v>
      </c>
    </row>
    <row r="85" customFormat="false" ht="39.55" hidden="false" customHeight="false" outlineLevel="0" collapsed="false">
      <c r="A85" s="2" t="s">
        <v>543</v>
      </c>
      <c r="B85" s="2" t="s">
        <v>544</v>
      </c>
      <c r="C85" s="2" t="s">
        <v>545</v>
      </c>
      <c r="D85" s="2" t="s">
        <v>546</v>
      </c>
      <c r="E85" s="5" t="s">
        <v>45</v>
      </c>
      <c r="F85" s="2"/>
      <c r="G85" s="2"/>
      <c r="H85" s="2" t="s">
        <v>547</v>
      </c>
      <c r="I85" s="2" t="s">
        <v>548</v>
      </c>
      <c r="J85" s="2" t="s">
        <v>549</v>
      </c>
      <c r="K85" s="2"/>
      <c r="L85" s="2" t="s">
        <v>550</v>
      </c>
      <c r="M85" s="2"/>
      <c r="N85" s="2" t="s">
        <v>551</v>
      </c>
      <c r="O85" s="2"/>
      <c r="P85" s="2" t="s">
        <v>552</v>
      </c>
      <c r="Q85" s="2" t="s">
        <v>553</v>
      </c>
    </row>
    <row r="86" customFormat="false" ht="39.55" hidden="false" customHeight="false" outlineLevel="0" collapsed="false">
      <c r="A86" s="6" t="s">
        <v>554</v>
      </c>
      <c r="B86" s="6" t="s">
        <v>555</v>
      </c>
      <c r="C86" s="6" t="s">
        <v>545</v>
      </c>
      <c r="D86" s="6" t="s">
        <v>546</v>
      </c>
      <c r="E86" s="5" t="s">
        <v>45</v>
      </c>
      <c r="F86" s="6"/>
      <c r="G86" s="6"/>
      <c r="H86" s="6" t="s">
        <v>556</v>
      </c>
      <c r="I86" s="6" t="s">
        <v>557</v>
      </c>
      <c r="J86" s="6" t="s">
        <v>558</v>
      </c>
      <c r="K86" s="6"/>
      <c r="L86" s="6" t="s">
        <v>559</v>
      </c>
      <c r="M86" s="6"/>
      <c r="N86" s="6" t="s">
        <v>560</v>
      </c>
      <c r="O86" s="6"/>
      <c r="P86" s="6" t="s">
        <v>561</v>
      </c>
      <c r="Q86" s="6"/>
    </row>
    <row r="87" customFormat="false" ht="39.55" hidden="false" customHeight="false" outlineLevel="0" collapsed="false">
      <c r="A87" s="2" t="s">
        <v>562</v>
      </c>
      <c r="B87" s="2" t="s">
        <v>563</v>
      </c>
      <c r="C87" s="2" t="s">
        <v>564</v>
      </c>
      <c r="D87" s="2" t="s">
        <v>44</v>
      </c>
      <c r="E87" s="3" t="s">
        <v>21</v>
      </c>
      <c r="F87" s="2"/>
      <c r="G87" s="2"/>
      <c r="H87" s="2" t="s">
        <v>565</v>
      </c>
      <c r="I87" s="2" t="s">
        <v>566</v>
      </c>
      <c r="J87" s="2" t="s">
        <v>567</v>
      </c>
      <c r="K87" s="2"/>
      <c r="L87" s="2" t="s">
        <v>568</v>
      </c>
      <c r="M87" s="2"/>
      <c r="N87" s="2" t="s">
        <v>569</v>
      </c>
      <c r="O87" s="2"/>
      <c r="P87" s="2" t="s">
        <v>570</v>
      </c>
      <c r="Q87" s="2" t="s">
        <v>571</v>
      </c>
    </row>
    <row r="88" customFormat="false" ht="39.55" hidden="false" customHeight="false" outlineLevel="0" collapsed="false">
      <c r="A88" s="6" t="s">
        <v>572</v>
      </c>
      <c r="B88" s="6" t="s">
        <v>128</v>
      </c>
      <c r="C88" s="6" t="s">
        <v>545</v>
      </c>
      <c r="D88" s="6" t="s">
        <v>546</v>
      </c>
      <c r="E88" s="5" t="s">
        <v>45</v>
      </c>
      <c r="F88" s="6"/>
      <c r="G88" s="6"/>
      <c r="H88" s="6" t="s">
        <v>573</v>
      </c>
      <c r="I88" s="6" t="s">
        <v>574</v>
      </c>
      <c r="J88" s="6" t="s">
        <v>575</v>
      </c>
      <c r="K88" s="6"/>
      <c r="L88" s="6" t="s">
        <v>576</v>
      </c>
      <c r="M88" s="6"/>
      <c r="N88" s="6" t="s">
        <v>577</v>
      </c>
      <c r="O88" s="6"/>
      <c r="P88" s="6" t="s">
        <v>578</v>
      </c>
      <c r="Q88" s="6" t="s">
        <v>579</v>
      </c>
    </row>
    <row r="89" customFormat="false" ht="39.55" hidden="false" customHeight="false" outlineLevel="0" collapsed="false">
      <c r="A89" s="2" t="s">
        <v>580</v>
      </c>
      <c r="B89" s="2" t="s">
        <v>581</v>
      </c>
      <c r="C89" s="2" t="s">
        <v>582</v>
      </c>
      <c r="D89" s="2" t="s">
        <v>546</v>
      </c>
      <c r="E89" s="5" t="s">
        <v>45</v>
      </c>
      <c r="F89" s="2"/>
      <c r="G89" s="2"/>
      <c r="H89" s="2" t="s">
        <v>583</v>
      </c>
      <c r="I89" s="2" t="s">
        <v>584</v>
      </c>
      <c r="J89" s="2" t="s">
        <v>585</v>
      </c>
      <c r="K89" s="2"/>
      <c r="L89" s="2" t="s">
        <v>586</v>
      </c>
      <c r="M89" s="2"/>
      <c r="N89" s="2" t="s">
        <v>587</v>
      </c>
      <c r="O89" s="2"/>
      <c r="P89" s="2" t="s">
        <v>588</v>
      </c>
      <c r="Q89" s="2"/>
    </row>
    <row r="90" customFormat="false" ht="39.55" hidden="false" customHeight="false" outlineLevel="0" collapsed="false">
      <c r="A90" s="6" t="s">
        <v>589</v>
      </c>
      <c r="B90" s="6" t="s">
        <v>590</v>
      </c>
      <c r="C90" s="6" t="s">
        <v>564</v>
      </c>
      <c r="D90" s="6" t="s">
        <v>44</v>
      </c>
      <c r="E90" s="5" t="s">
        <v>45</v>
      </c>
      <c r="F90" s="6"/>
      <c r="G90" s="6"/>
      <c r="H90" s="6" t="s">
        <v>591</v>
      </c>
      <c r="I90" s="6" t="s">
        <v>592</v>
      </c>
      <c r="J90" s="6" t="s">
        <v>593</v>
      </c>
      <c r="K90" s="6"/>
      <c r="L90" s="6" t="s">
        <v>594</v>
      </c>
      <c r="M90" s="6"/>
      <c r="N90" s="6" t="s">
        <v>595</v>
      </c>
      <c r="O90" s="6"/>
      <c r="P90" s="6" t="s">
        <v>596</v>
      </c>
      <c r="Q90" s="6"/>
    </row>
    <row r="91" customFormat="false" ht="39.55" hidden="false" customHeight="false" outlineLevel="0" collapsed="false">
      <c r="A91" s="2" t="s">
        <v>597</v>
      </c>
      <c r="B91" s="2" t="s">
        <v>115</v>
      </c>
      <c r="C91" s="2" t="s">
        <v>598</v>
      </c>
      <c r="D91" s="2" t="s">
        <v>546</v>
      </c>
      <c r="E91" s="5" t="s">
        <v>45</v>
      </c>
      <c r="F91" s="2"/>
      <c r="G91" s="2"/>
      <c r="H91" s="2" t="s">
        <v>599</v>
      </c>
      <c r="I91" s="2" t="s">
        <v>600</v>
      </c>
      <c r="J91" s="2" t="s">
        <v>601</v>
      </c>
      <c r="K91" s="2"/>
      <c r="L91" s="2" t="s">
        <v>602</v>
      </c>
      <c r="M91" s="2"/>
      <c r="N91" s="2" t="s">
        <v>603</v>
      </c>
      <c r="O91" s="2"/>
      <c r="P91" s="2" t="s">
        <v>604</v>
      </c>
      <c r="Q91" s="2"/>
    </row>
    <row r="92" customFormat="false" ht="39.55" hidden="false" customHeight="false" outlineLevel="0" collapsed="false">
      <c r="A92" s="6" t="s">
        <v>605</v>
      </c>
      <c r="B92" s="6" t="s">
        <v>194</v>
      </c>
      <c r="C92" s="6" t="s">
        <v>582</v>
      </c>
      <c r="D92" s="6" t="s">
        <v>546</v>
      </c>
      <c r="E92" s="5" t="s">
        <v>45</v>
      </c>
      <c r="F92" s="6"/>
      <c r="G92" s="6"/>
      <c r="H92" s="6" t="s">
        <v>606</v>
      </c>
      <c r="I92" s="6" t="s">
        <v>607</v>
      </c>
      <c r="J92" s="6" t="s">
        <v>608</v>
      </c>
      <c r="K92" s="6"/>
      <c r="L92" s="6" t="s">
        <v>609</v>
      </c>
      <c r="M92" s="6"/>
      <c r="N92" s="6" t="s">
        <v>610</v>
      </c>
      <c r="O92" s="6"/>
      <c r="P92" s="6" t="s">
        <v>611</v>
      </c>
      <c r="Q92" s="6"/>
    </row>
    <row r="93" customFormat="false" ht="39.55" hidden="false" customHeight="false" outlineLevel="0" collapsed="false">
      <c r="A93" s="2" t="s">
        <v>612</v>
      </c>
      <c r="B93" s="2" t="s">
        <v>341</v>
      </c>
      <c r="C93" s="2" t="s">
        <v>613</v>
      </c>
      <c r="D93" s="2" t="s">
        <v>546</v>
      </c>
      <c r="E93" s="3" t="s">
        <v>21</v>
      </c>
      <c r="F93" s="2"/>
      <c r="G93" s="2"/>
      <c r="H93" s="2" t="s">
        <v>614</v>
      </c>
      <c r="I93" s="2" t="s">
        <v>615</v>
      </c>
      <c r="J93" s="2" t="s">
        <v>616</v>
      </c>
      <c r="K93" s="2"/>
      <c r="L93" s="2" t="s">
        <v>617</v>
      </c>
      <c r="M93" s="2"/>
      <c r="N93" s="2" t="s">
        <v>618</v>
      </c>
      <c r="O93" s="2"/>
      <c r="P93" s="2" t="s">
        <v>619</v>
      </c>
      <c r="Q93" s="2"/>
    </row>
    <row r="94" customFormat="false" ht="39.55" hidden="false" customHeight="false" outlineLevel="0" collapsed="false">
      <c r="A94" s="6" t="s">
        <v>620</v>
      </c>
      <c r="B94" s="6" t="s">
        <v>115</v>
      </c>
      <c r="C94" s="6" t="s">
        <v>545</v>
      </c>
      <c r="D94" s="6" t="s">
        <v>546</v>
      </c>
      <c r="E94" s="5" t="s">
        <v>45</v>
      </c>
      <c r="F94" s="6"/>
      <c r="G94" s="6"/>
      <c r="H94" s="6" t="s">
        <v>621</v>
      </c>
      <c r="I94" s="6" t="s">
        <v>622</v>
      </c>
      <c r="J94" s="6" t="s">
        <v>623</v>
      </c>
      <c r="K94" s="6"/>
      <c r="L94" s="6" t="s">
        <v>624</v>
      </c>
      <c r="M94" s="6"/>
      <c r="N94" s="6" t="s">
        <v>625</v>
      </c>
      <c r="O94" s="6"/>
      <c r="P94" s="6" t="s">
        <v>626</v>
      </c>
      <c r="Q94" s="6"/>
    </row>
    <row r="95" customFormat="false" ht="39.55" hidden="false" customHeight="false" outlineLevel="0" collapsed="false">
      <c r="A95" s="2" t="s">
        <v>627</v>
      </c>
      <c r="B95" s="2" t="s">
        <v>128</v>
      </c>
      <c r="C95" s="2" t="s">
        <v>545</v>
      </c>
      <c r="D95" s="2" t="s">
        <v>546</v>
      </c>
      <c r="E95" s="5" t="s">
        <v>45</v>
      </c>
      <c r="F95" s="2"/>
      <c r="G95" s="2"/>
      <c r="H95" s="2" t="s">
        <v>573</v>
      </c>
      <c r="I95" s="2" t="s">
        <v>628</v>
      </c>
      <c r="J95" s="2" t="s">
        <v>575</v>
      </c>
      <c r="K95" s="2"/>
      <c r="L95" s="2" t="s">
        <v>576</v>
      </c>
      <c r="M95" s="2"/>
      <c r="N95" s="2" t="s">
        <v>629</v>
      </c>
      <c r="O95" s="2"/>
      <c r="P95" s="2" t="s">
        <v>630</v>
      </c>
      <c r="Q95" s="2"/>
    </row>
    <row r="96" customFormat="false" ht="39.55" hidden="false" customHeight="false" outlineLevel="0" collapsed="false">
      <c r="A96" s="6" t="s">
        <v>631</v>
      </c>
      <c r="B96" s="6" t="s">
        <v>194</v>
      </c>
      <c r="C96" s="6" t="s">
        <v>545</v>
      </c>
      <c r="D96" s="6" t="s">
        <v>546</v>
      </c>
      <c r="E96" s="4" t="s">
        <v>33</v>
      </c>
      <c r="F96" s="6"/>
      <c r="G96" s="6"/>
      <c r="H96" s="6" t="s">
        <v>632</v>
      </c>
      <c r="I96" s="6" t="s">
        <v>633</v>
      </c>
      <c r="J96" s="6" t="s">
        <v>634</v>
      </c>
      <c r="K96" s="6"/>
      <c r="L96" s="6" t="s">
        <v>635</v>
      </c>
      <c r="M96" s="6"/>
      <c r="N96" s="6" t="s">
        <v>636</v>
      </c>
      <c r="O96" s="6"/>
      <c r="P96" s="6" t="s">
        <v>637</v>
      </c>
      <c r="Q96" s="6"/>
    </row>
    <row r="97" customFormat="false" ht="39.55" hidden="false" customHeight="false" outlineLevel="0" collapsed="false">
      <c r="A97" s="2" t="s">
        <v>638</v>
      </c>
      <c r="B97" s="2" t="s">
        <v>639</v>
      </c>
      <c r="C97" s="2" t="s">
        <v>640</v>
      </c>
      <c r="D97" s="2" t="s">
        <v>641</v>
      </c>
      <c r="E97" s="4" t="s">
        <v>33</v>
      </c>
      <c r="F97" s="2"/>
      <c r="G97" s="2"/>
      <c r="H97" s="2" t="s">
        <v>642</v>
      </c>
      <c r="I97" s="2" t="s">
        <v>643</v>
      </c>
      <c r="J97" s="2" t="s">
        <v>644</v>
      </c>
      <c r="K97" s="2"/>
      <c r="L97" s="2" t="s">
        <v>645</v>
      </c>
      <c r="M97" s="2"/>
      <c r="N97" s="2" t="s">
        <v>646</v>
      </c>
      <c r="O97" s="2"/>
      <c r="P97" s="2" t="s">
        <v>647</v>
      </c>
      <c r="Q97" s="2"/>
    </row>
    <row r="98" customFormat="false" ht="39.55" hidden="false" customHeight="false" outlineLevel="0" collapsed="false">
      <c r="A98" s="6" t="s">
        <v>648</v>
      </c>
      <c r="B98" s="6" t="s">
        <v>115</v>
      </c>
      <c r="C98" s="6" t="s">
        <v>545</v>
      </c>
      <c r="D98" s="6" t="s">
        <v>546</v>
      </c>
      <c r="E98" s="5" t="s">
        <v>45</v>
      </c>
      <c r="F98" s="6"/>
      <c r="G98" s="6"/>
      <c r="H98" s="6" t="s">
        <v>649</v>
      </c>
      <c r="I98" s="6" t="s">
        <v>650</v>
      </c>
      <c r="J98" s="6" t="s">
        <v>651</v>
      </c>
      <c r="K98" s="6"/>
      <c r="L98" s="6" t="s">
        <v>652</v>
      </c>
      <c r="M98" s="6"/>
      <c r="N98" s="6" t="s">
        <v>653</v>
      </c>
      <c r="O98" s="6"/>
      <c r="P98" s="6" t="s">
        <v>654</v>
      </c>
      <c r="Q98" s="6"/>
    </row>
    <row r="99" customFormat="false" ht="39.55" hidden="false" customHeight="false" outlineLevel="0" collapsed="false">
      <c r="A99" s="2" t="s">
        <v>655</v>
      </c>
      <c r="B99" s="2" t="s">
        <v>656</v>
      </c>
      <c r="C99" s="2" t="s">
        <v>564</v>
      </c>
      <c r="D99" s="2" t="s">
        <v>44</v>
      </c>
      <c r="E99" s="5" t="s">
        <v>45</v>
      </c>
      <c r="F99" s="2"/>
      <c r="G99" s="2"/>
      <c r="H99" s="2" t="s">
        <v>657</v>
      </c>
      <c r="I99" s="2" t="s">
        <v>658</v>
      </c>
      <c r="J99" s="2" t="s">
        <v>659</v>
      </c>
      <c r="K99" s="2"/>
      <c r="L99" s="2" t="s">
        <v>660</v>
      </c>
      <c r="M99" s="2"/>
      <c r="N99" s="2" t="s">
        <v>661</v>
      </c>
      <c r="O99" s="2"/>
      <c r="P99" s="2" t="s">
        <v>662</v>
      </c>
      <c r="Q99" s="2" t="s">
        <v>663</v>
      </c>
    </row>
    <row r="100" customFormat="false" ht="39.55" hidden="false" customHeight="false" outlineLevel="0" collapsed="false">
      <c r="A100" s="6" t="s">
        <v>664</v>
      </c>
      <c r="B100" s="6" t="s">
        <v>148</v>
      </c>
      <c r="C100" s="6" t="s">
        <v>582</v>
      </c>
      <c r="D100" s="6" t="s">
        <v>546</v>
      </c>
      <c r="E100" s="5" t="s">
        <v>45</v>
      </c>
      <c r="F100" s="6"/>
      <c r="G100" s="6"/>
      <c r="H100" s="6" t="s">
        <v>665</v>
      </c>
      <c r="I100" s="6" t="s">
        <v>666</v>
      </c>
      <c r="J100" s="6" t="s">
        <v>667</v>
      </c>
      <c r="K100" s="6"/>
      <c r="L100" s="6" t="s">
        <v>668</v>
      </c>
      <c r="M100" s="6"/>
      <c r="N100" s="6" t="s">
        <v>669</v>
      </c>
      <c r="O100" s="6"/>
      <c r="P100" s="6" t="s">
        <v>670</v>
      </c>
      <c r="Q100" s="6" t="s">
        <v>671</v>
      </c>
    </row>
    <row r="101" customFormat="false" ht="39.55" hidden="false" customHeight="false" outlineLevel="0" collapsed="false">
      <c r="A101" s="2" t="s">
        <v>672</v>
      </c>
      <c r="B101" s="2" t="s">
        <v>673</v>
      </c>
      <c r="C101" s="2" t="s">
        <v>545</v>
      </c>
      <c r="D101" s="2" t="s">
        <v>546</v>
      </c>
      <c r="E101" s="5" t="s">
        <v>45</v>
      </c>
      <c r="F101" s="2"/>
      <c r="G101" s="2"/>
      <c r="H101" s="2" t="s">
        <v>573</v>
      </c>
      <c r="I101" s="2" t="s">
        <v>574</v>
      </c>
      <c r="J101" s="2" t="s">
        <v>575</v>
      </c>
      <c r="K101" s="2"/>
      <c r="L101" s="2" t="s">
        <v>576</v>
      </c>
      <c r="M101" s="2"/>
      <c r="N101" s="2" t="s">
        <v>674</v>
      </c>
      <c r="O101" s="2"/>
      <c r="P101" s="2" t="s">
        <v>675</v>
      </c>
      <c r="Q101" s="2"/>
    </row>
    <row r="102" customFormat="false" ht="39.55" hidden="false" customHeight="false" outlineLevel="0" collapsed="false">
      <c r="A102" s="6" t="s">
        <v>676</v>
      </c>
      <c r="B102" s="6" t="s">
        <v>677</v>
      </c>
      <c r="C102" s="6" t="s">
        <v>678</v>
      </c>
      <c r="D102" s="6" t="s">
        <v>641</v>
      </c>
      <c r="E102" s="4" t="s">
        <v>33</v>
      </c>
      <c r="F102" s="6"/>
      <c r="G102" s="6"/>
      <c r="H102" s="6" t="s">
        <v>679</v>
      </c>
      <c r="I102" s="6" t="s">
        <v>680</v>
      </c>
      <c r="J102" s="6" t="s">
        <v>681</v>
      </c>
      <c r="K102" s="6"/>
      <c r="L102" s="6" t="s">
        <v>682</v>
      </c>
      <c r="M102" s="6"/>
      <c r="N102" s="6" t="s">
        <v>683</v>
      </c>
      <c r="O102" s="6"/>
      <c r="P102" s="6" t="s">
        <v>684</v>
      </c>
      <c r="Q102" s="6" t="s">
        <v>685</v>
      </c>
    </row>
    <row r="103" customFormat="false" ht="39.55" hidden="false" customHeight="false" outlineLevel="0" collapsed="false">
      <c r="A103" s="2" t="s">
        <v>686</v>
      </c>
      <c r="B103" s="2" t="s">
        <v>687</v>
      </c>
      <c r="C103" s="2" t="s">
        <v>564</v>
      </c>
      <c r="D103" s="2" t="s">
        <v>44</v>
      </c>
      <c r="E103" s="3" t="s">
        <v>21</v>
      </c>
      <c r="F103" s="2"/>
      <c r="G103" s="2"/>
      <c r="H103" s="2" t="s">
        <v>657</v>
      </c>
      <c r="I103" s="2" t="s">
        <v>688</v>
      </c>
      <c r="J103" s="2" t="s">
        <v>659</v>
      </c>
      <c r="K103" s="2"/>
      <c r="L103" s="2" t="s">
        <v>660</v>
      </c>
      <c r="M103" s="2"/>
      <c r="N103" s="2" t="s">
        <v>689</v>
      </c>
      <c r="O103" s="2"/>
      <c r="P103" s="2" t="s">
        <v>690</v>
      </c>
      <c r="Q103" s="2"/>
    </row>
    <row r="104" customFormat="false" ht="39.55" hidden="false" customHeight="false" outlineLevel="0" collapsed="false">
      <c r="A104" s="6" t="s">
        <v>691</v>
      </c>
      <c r="B104" s="6" t="s">
        <v>230</v>
      </c>
      <c r="C104" s="6" t="s">
        <v>598</v>
      </c>
      <c r="D104" s="6" t="s">
        <v>546</v>
      </c>
      <c r="E104" s="5" t="s">
        <v>45</v>
      </c>
      <c r="F104" s="6"/>
      <c r="G104" s="6"/>
      <c r="H104" s="6" t="s">
        <v>599</v>
      </c>
      <c r="I104" s="6" t="s">
        <v>692</v>
      </c>
      <c r="J104" s="6" t="s">
        <v>601</v>
      </c>
      <c r="K104" s="6"/>
      <c r="L104" s="6" t="s">
        <v>602</v>
      </c>
      <c r="M104" s="6"/>
      <c r="N104" s="6" t="s">
        <v>693</v>
      </c>
      <c r="O104" s="6"/>
      <c r="P104" s="6" t="s">
        <v>694</v>
      </c>
      <c r="Q104" s="6" t="s">
        <v>695</v>
      </c>
    </row>
    <row r="105" customFormat="false" ht="39.55" hidden="false" customHeight="false" outlineLevel="0" collapsed="false">
      <c r="A105" s="2" t="s">
        <v>696</v>
      </c>
      <c r="B105" s="2" t="s">
        <v>697</v>
      </c>
      <c r="C105" s="2" t="s">
        <v>698</v>
      </c>
      <c r="D105" s="2" t="s">
        <v>641</v>
      </c>
      <c r="E105" s="5" t="s">
        <v>45</v>
      </c>
      <c r="F105" s="2"/>
      <c r="G105" s="2"/>
      <c r="H105" s="2" t="s">
        <v>699</v>
      </c>
      <c r="I105" s="2" t="s">
        <v>700</v>
      </c>
      <c r="J105" s="2" t="s">
        <v>701</v>
      </c>
      <c r="K105" s="2"/>
      <c r="L105" s="2" t="s">
        <v>702</v>
      </c>
      <c r="M105" s="2"/>
      <c r="N105" s="2" t="s">
        <v>703</v>
      </c>
      <c r="O105" s="2"/>
      <c r="P105" s="2" t="s">
        <v>704</v>
      </c>
      <c r="Q105" s="2" t="s">
        <v>705</v>
      </c>
    </row>
    <row r="106" customFormat="false" ht="39.55" hidden="false" customHeight="false" outlineLevel="0" collapsed="false">
      <c r="A106" s="6" t="s">
        <v>706</v>
      </c>
      <c r="B106" s="6" t="s">
        <v>697</v>
      </c>
      <c r="C106" s="6" t="s">
        <v>582</v>
      </c>
      <c r="D106" s="6" t="s">
        <v>546</v>
      </c>
      <c r="E106" s="5" t="s">
        <v>45</v>
      </c>
      <c r="F106" s="6"/>
      <c r="G106" s="6"/>
      <c r="H106" s="6" t="s">
        <v>606</v>
      </c>
      <c r="I106" s="6" t="s">
        <v>707</v>
      </c>
      <c r="J106" s="6" t="s">
        <v>608</v>
      </c>
      <c r="K106" s="6"/>
      <c r="L106" s="6" t="s">
        <v>609</v>
      </c>
      <c r="M106" s="6"/>
      <c r="N106" s="6" t="s">
        <v>708</v>
      </c>
      <c r="O106" s="6"/>
      <c r="P106" s="6" t="s">
        <v>709</v>
      </c>
      <c r="Q106" s="6" t="s">
        <v>705</v>
      </c>
    </row>
    <row r="107" customFormat="false" ht="39.55" hidden="false" customHeight="false" outlineLevel="0" collapsed="false">
      <c r="A107" s="2" t="s">
        <v>710</v>
      </c>
      <c r="B107" s="2" t="s">
        <v>230</v>
      </c>
      <c r="C107" s="2" t="s">
        <v>564</v>
      </c>
      <c r="D107" s="2" t="s">
        <v>44</v>
      </c>
      <c r="E107" s="5" t="s">
        <v>45</v>
      </c>
      <c r="F107" s="2"/>
      <c r="G107" s="2"/>
      <c r="H107" s="2" t="s">
        <v>711</v>
      </c>
      <c r="I107" s="2" t="s">
        <v>712</v>
      </c>
      <c r="J107" s="2" t="s">
        <v>713</v>
      </c>
      <c r="K107" s="2"/>
      <c r="L107" s="2" t="s">
        <v>714</v>
      </c>
      <c r="M107" s="2"/>
      <c r="N107" s="2" t="s">
        <v>715</v>
      </c>
      <c r="O107" s="2"/>
      <c r="P107" s="2" t="s">
        <v>716</v>
      </c>
      <c r="Q107" s="2"/>
    </row>
    <row r="108" customFormat="false" ht="39.55" hidden="false" customHeight="false" outlineLevel="0" collapsed="false">
      <c r="A108" s="6" t="s">
        <v>717</v>
      </c>
      <c r="B108" s="6" t="s">
        <v>697</v>
      </c>
      <c r="C108" s="6" t="s">
        <v>153</v>
      </c>
      <c r="D108" s="6" t="s">
        <v>44</v>
      </c>
      <c r="E108" s="5" t="s">
        <v>45</v>
      </c>
      <c r="F108" s="6"/>
      <c r="G108" s="6"/>
      <c r="H108" s="6" t="s">
        <v>718</v>
      </c>
      <c r="I108" s="6" t="s">
        <v>719</v>
      </c>
      <c r="J108" s="6" t="s">
        <v>720</v>
      </c>
      <c r="K108" s="6"/>
      <c r="L108" s="6" t="s">
        <v>721</v>
      </c>
      <c r="M108" s="6"/>
      <c r="N108" s="6" t="s">
        <v>722</v>
      </c>
      <c r="O108" s="6"/>
      <c r="P108" s="6" t="s">
        <v>723</v>
      </c>
      <c r="Q108" s="6" t="s">
        <v>705</v>
      </c>
    </row>
    <row r="109" customFormat="false" ht="39.55" hidden="false" customHeight="false" outlineLevel="0" collapsed="false">
      <c r="A109" s="2" t="s">
        <v>724</v>
      </c>
      <c r="B109" s="2" t="s">
        <v>148</v>
      </c>
      <c r="C109" s="2" t="s">
        <v>725</v>
      </c>
      <c r="D109" s="2" t="s">
        <v>44</v>
      </c>
      <c r="E109" s="3" t="s">
        <v>21</v>
      </c>
      <c r="F109" s="2"/>
      <c r="G109" s="2"/>
      <c r="H109" s="2" t="s">
        <v>726</v>
      </c>
      <c r="I109" s="2" t="s">
        <v>727</v>
      </c>
      <c r="J109" s="2" t="s">
        <v>728</v>
      </c>
      <c r="K109" s="2"/>
      <c r="L109" s="2" t="s">
        <v>729</v>
      </c>
      <c r="M109" s="2"/>
      <c r="N109" s="2" t="s">
        <v>730</v>
      </c>
      <c r="O109" s="2"/>
      <c r="P109" s="2" t="s">
        <v>731</v>
      </c>
      <c r="Q109" s="2" t="s">
        <v>732</v>
      </c>
    </row>
    <row r="110" customFormat="false" ht="39.55" hidden="false" customHeight="false" outlineLevel="0" collapsed="false">
      <c r="A110" s="6" t="s">
        <v>733</v>
      </c>
      <c r="B110" s="6" t="s">
        <v>677</v>
      </c>
      <c r="C110" s="6" t="s">
        <v>734</v>
      </c>
      <c r="D110" s="6" t="s">
        <v>44</v>
      </c>
      <c r="E110" s="3" t="s">
        <v>21</v>
      </c>
      <c r="F110" s="6"/>
      <c r="G110" s="6"/>
      <c r="H110" s="6" t="s">
        <v>735</v>
      </c>
      <c r="I110" s="6" t="s">
        <v>736</v>
      </c>
      <c r="J110" s="6" t="s">
        <v>737</v>
      </c>
      <c r="K110" s="6"/>
      <c r="L110" s="6" t="s">
        <v>738</v>
      </c>
      <c r="M110" s="6"/>
      <c r="N110" s="6" t="s">
        <v>739</v>
      </c>
      <c r="O110" s="6"/>
      <c r="P110" s="6" t="s">
        <v>740</v>
      </c>
      <c r="Q110" s="6"/>
    </row>
    <row r="111" customFormat="false" ht="39.55" hidden="false" customHeight="false" outlineLevel="0" collapsed="false">
      <c r="A111" s="2" t="s">
        <v>741</v>
      </c>
      <c r="B111" s="2" t="s">
        <v>581</v>
      </c>
      <c r="C111" s="2" t="s">
        <v>742</v>
      </c>
      <c r="D111" s="2" t="s">
        <v>44</v>
      </c>
      <c r="E111" s="5" t="s">
        <v>45</v>
      </c>
      <c r="F111" s="2"/>
      <c r="G111" s="2"/>
      <c r="H111" s="2" t="s">
        <v>743</v>
      </c>
      <c r="I111" s="2" t="s">
        <v>744</v>
      </c>
      <c r="J111" s="2" t="s">
        <v>745</v>
      </c>
      <c r="K111" s="2"/>
      <c r="L111" s="2" t="s">
        <v>746</v>
      </c>
      <c r="M111" s="2"/>
      <c r="N111" s="2" t="s">
        <v>747</v>
      </c>
      <c r="O111" s="2"/>
      <c r="P111" s="2" t="s">
        <v>748</v>
      </c>
      <c r="Q111" s="2" t="s">
        <v>749</v>
      </c>
    </row>
    <row r="112" customFormat="false" ht="39.55" hidden="false" customHeight="false" outlineLevel="0" collapsed="false">
      <c r="A112" s="6" t="s">
        <v>750</v>
      </c>
      <c r="B112" s="6" t="s">
        <v>76</v>
      </c>
      <c r="C112" s="6" t="s">
        <v>742</v>
      </c>
      <c r="D112" s="6" t="s">
        <v>44</v>
      </c>
      <c r="E112" s="5" t="s">
        <v>45</v>
      </c>
      <c r="F112" s="6"/>
      <c r="G112" s="6"/>
      <c r="H112" s="6" t="s">
        <v>751</v>
      </c>
      <c r="I112" s="6" t="s">
        <v>752</v>
      </c>
      <c r="J112" s="6" t="s">
        <v>753</v>
      </c>
      <c r="K112" s="6"/>
      <c r="L112" s="6" t="s">
        <v>754</v>
      </c>
      <c r="M112" s="6"/>
      <c r="N112" s="6" t="s">
        <v>755</v>
      </c>
      <c r="O112" s="6"/>
      <c r="P112" s="6" t="s">
        <v>756</v>
      </c>
      <c r="Q112" s="6"/>
    </row>
    <row r="113" customFormat="false" ht="39.55" hidden="false" customHeight="false" outlineLevel="0" collapsed="false">
      <c r="A113" s="2" t="s">
        <v>757</v>
      </c>
      <c r="B113" s="2" t="s">
        <v>76</v>
      </c>
      <c r="C113" s="2" t="s">
        <v>742</v>
      </c>
      <c r="D113" s="2" t="s">
        <v>44</v>
      </c>
      <c r="E113" s="5" t="s">
        <v>45</v>
      </c>
      <c r="F113" s="2"/>
      <c r="G113" s="2"/>
      <c r="H113" s="2" t="s">
        <v>758</v>
      </c>
      <c r="I113" s="2" t="s">
        <v>759</v>
      </c>
      <c r="J113" s="2" t="s">
        <v>760</v>
      </c>
      <c r="K113" s="2"/>
      <c r="L113" s="2" t="s">
        <v>761</v>
      </c>
      <c r="M113" s="2"/>
      <c r="N113" s="2" t="s">
        <v>762</v>
      </c>
      <c r="O113" s="2"/>
      <c r="P113" s="2" t="s">
        <v>763</v>
      </c>
      <c r="Q113" s="2"/>
    </row>
    <row r="114" customFormat="false" ht="39.55" hidden="false" customHeight="false" outlineLevel="0" collapsed="false">
      <c r="A114" s="6" t="s">
        <v>764</v>
      </c>
      <c r="B114" s="6" t="s">
        <v>656</v>
      </c>
      <c r="C114" s="6" t="s">
        <v>742</v>
      </c>
      <c r="D114" s="6" t="s">
        <v>44</v>
      </c>
      <c r="E114" s="5" t="s">
        <v>45</v>
      </c>
      <c r="F114" s="6"/>
      <c r="G114" s="6"/>
      <c r="H114" s="6" t="s">
        <v>743</v>
      </c>
      <c r="I114" s="6" t="s">
        <v>765</v>
      </c>
      <c r="J114" s="6" t="s">
        <v>745</v>
      </c>
      <c r="K114" s="6"/>
      <c r="L114" s="6" t="s">
        <v>746</v>
      </c>
      <c r="M114" s="6"/>
      <c r="N114" s="6" t="s">
        <v>766</v>
      </c>
      <c r="O114" s="6"/>
      <c r="P114" s="6" t="s">
        <v>767</v>
      </c>
      <c r="Q114" s="6" t="s">
        <v>663</v>
      </c>
    </row>
    <row r="115" customFormat="false" ht="39.55" hidden="false" customHeight="false" outlineLevel="0" collapsed="false">
      <c r="A115" s="2" t="s">
        <v>768</v>
      </c>
      <c r="B115" s="2" t="s">
        <v>769</v>
      </c>
      <c r="C115" s="2" t="s">
        <v>742</v>
      </c>
      <c r="D115" s="2" t="s">
        <v>44</v>
      </c>
      <c r="E115" s="5" t="s">
        <v>45</v>
      </c>
      <c r="F115" s="2" t="n">
        <v>2012</v>
      </c>
      <c r="G115" s="2"/>
      <c r="H115" s="2" t="s">
        <v>743</v>
      </c>
      <c r="I115" s="2" t="s">
        <v>770</v>
      </c>
      <c r="J115" s="2" t="s">
        <v>745</v>
      </c>
      <c r="K115" s="2"/>
      <c r="L115" s="2" t="s">
        <v>746</v>
      </c>
      <c r="M115" s="2"/>
      <c r="N115" s="2" t="s">
        <v>771</v>
      </c>
      <c r="O115" s="2"/>
      <c r="P115" s="2" t="s">
        <v>772</v>
      </c>
      <c r="Q115" s="2" t="s">
        <v>773</v>
      </c>
    </row>
    <row r="116" customFormat="false" ht="39.55" hidden="false" customHeight="false" outlineLevel="0" collapsed="false">
      <c r="A116" s="6" t="s">
        <v>774</v>
      </c>
      <c r="B116" s="6" t="s">
        <v>775</v>
      </c>
      <c r="C116" s="6" t="s">
        <v>742</v>
      </c>
      <c r="D116" s="6" t="s">
        <v>44</v>
      </c>
      <c r="E116" s="5" t="s">
        <v>45</v>
      </c>
      <c r="F116" s="6"/>
      <c r="G116" s="6"/>
      <c r="H116" s="6" t="s">
        <v>743</v>
      </c>
      <c r="I116" s="6" t="s">
        <v>744</v>
      </c>
      <c r="J116" s="6" t="s">
        <v>745</v>
      </c>
      <c r="K116" s="6"/>
      <c r="L116" s="6" t="s">
        <v>746</v>
      </c>
      <c r="M116" s="6"/>
      <c r="N116" s="6" t="s">
        <v>776</v>
      </c>
      <c r="O116" s="6"/>
      <c r="P116" s="6" t="s">
        <v>777</v>
      </c>
      <c r="Q116" s="6"/>
    </row>
    <row r="117" customFormat="false" ht="39.55" hidden="false" customHeight="false" outlineLevel="0" collapsed="false">
      <c r="A117" s="2" t="s">
        <v>778</v>
      </c>
      <c r="B117" s="2" t="s">
        <v>241</v>
      </c>
      <c r="C117" s="2" t="s">
        <v>779</v>
      </c>
      <c r="D117" s="2" t="s">
        <v>44</v>
      </c>
      <c r="E117" s="5" t="s">
        <v>45</v>
      </c>
      <c r="F117" s="2" t="n">
        <v>2000</v>
      </c>
      <c r="G117" s="2"/>
      <c r="H117" s="2" t="s">
        <v>780</v>
      </c>
      <c r="I117" s="2" t="s">
        <v>781</v>
      </c>
      <c r="J117" s="2" t="s">
        <v>782</v>
      </c>
      <c r="K117" s="2"/>
      <c r="L117" s="2" t="s">
        <v>783</v>
      </c>
      <c r="M117" s="2"/>
      <c r="N117" s="2" t="s">
        <v>784</v>
      </c>
      <c r="O117" s="2"/>
      <c r="P117" s="2" t="s">
        <v>785</v>
      </c>
      <c r="Q117" s="2" t="s">
        <v>786</v>
      </c>
    </row>
    <row r="118" customFormat="false" ht="39.55" hidden="false" customHeight="false" outlineLevel="0" collapsed="false">
      <c r="A118" s="6" t="s">
        <v>787</v>
      </c>
      <c r="B118" s="6" t="s">
        <v>148</v>
      </c>
      <c r="C118" s="6" t="s">
        <v>788</v>
      </c>
      <c r="D118" s="6" t="s">
        <v>44</v>
      </c>
      <c r="E118" s="4" t="s">
        <v>33</v>
      </c>
      <c r="F118" s="6"/>
      <c r="G118" s="6"/>
      <c r="H118" s="6" t="s">
        <v>789</v>
      </c>
      <c r="I118" s="6" t="s">
        <v>790</v>
      </c>
      <c r="J118" s="6" t="s">
        <v>791</v>
      </c>
      <c r="K118" s="6"/>
      <c r="L118" s="6" t="s">
        <v>792</v>
      </c>
      <c r="M118" s="6"/>
      <c r="N118" s="6" t="s">
        <v>793</v>
      </c>
      <c r="O118" s="6"/>
      <c r="P118" s="6" t="s">
        <v>794</v>
      </c>
      <c r="Q118" s="6" t="s">
        <v>795</v>
      </c>
    </row>
    <row r="119" customFormat="false" ht="39.55" hidden="false" customHeight="false" outlineLevel="0" collapsed="false">
      <c r="A119" s="2" t="s">
        <v>796</v>
      </c>
      <c r="B119" s="2" t="s">
        <v>797</v>
      </c>
      <c r="C119" s="2" t="s">
        <v>798</v>
      </c>
      <c r="D119" s="2" t="s">
        <v>799</v>
      </c>
      <c r="E119" s="5" t="s">
        <v>45</v>
      </c>
      <c r="F119" s="2"/>
      <c r="G119" s="2"/>
      <c r="H119" s="2" t="s">
        <v>800</v>
      </c>
      <c r="I119" s="2" t="s">
        <v>801</v>
      </c>
      <c r="J119" s="2" t="s">
        <v>802</v>
      </c>
      <c r="K119" s="2"/>
      <c r="L119" s="2" t="s">
        <v>803</v>
      </c>
      <c r="M119" s="2"/>
      <c r="N119" s="2" t="s">
        <v>804</v>
      </c>
      <c r="O119" s="2"/>
      <c r="P119" s="2" t="s">
        <v>805</v>
      </c>
      <c r="Q119" s="2" t="s">
        <v>806</v>
      </c>
    </row>
    <row r="120" customFormat="false" ht="39.55" hidden="false" customHeight="false" outlineLevel="0" collapsed="false">
      <c r="A120" s="6" t="s">
        <v>807</v>
      </c>
      <c r="B120" s="6" t="s">
        <v>808</v>
      </c>
      <c r="C120" s="6" t="s">
        <v>798</v>
      </c>
      <c r="D120" s="6" t="s">
        <v>799</v>
      </c>
      <c r="E120" s="4" t="s">
        <v>33</v>
      </c>
      <c r="F120" s="6" t="n">
        <v>2027</v>
      </c>
      <c r="G120" s="6"/>
      <c r="H120" s="6" t="s">
        <v>800</v>
      </c>
      <c r="I120" s="6" t="s">
        <v>809</v>
      </c>
      <c r="J120" s="6" t="s">
        <v>802</v>
      </c>
      <c r="K120" s="6"/>
      <c r="L120" s="6" t="s">
        <v>803</v>
      </c>
      <c r="M120" s="6"/>
      <c r="N120" s="6" t="s">
        <v>810</v>
      </c>
      <c r="O120" s="6"/>
      <c r="P120" s="6" t="s">
        <v>811</v>
      </c>
      <c r="Q120" s="6" t="s">
        <v>812</v>
      </c>
    </row>
    <row r="121" customFormat="false" ht="39.55" hidden="false" customHeight="false" outlineLevel="0" collapsed="false">
      <c r="A121" s="2" t="s">
        <v>813</v>
      </c>
      <c r="B121" s="2" t="s">
        <v>18</v>
      </c>
      <c r="C121" s="2" t="s">
        <v>814</v>
      </c>
      <c r="D121" s="2" t="s">
        <v>20</v>
      </c>
      <c r="E121" s="5" t="s">
        <v>45</v>
      </c>
      <c r="F121" s="2"/>
      <c r="G121" s="2"/>
      <c r="H121" s="2" t="s">
        <v>815</v>
      </c>
      <c r="I121" s="2" t="s">
        <v>816</v>
      </c>
      <c r="J121" s="2" t="s">
        <v>817</v>
      </c>
      <c r="K121" s="2"/>
      <c r="L121" s="2" t="s">
        <v>818</v>
      </c>
      <c r="M121" s="2"/>
      <c r="N121" s="2" t="s">
        <v>819</v>
      </c>
      <c r="O121" s="2"/>
      <c r="P121" s="2" t="s">
        <v>820</v>
      </c>
      <c r="Q121" s="2" t="s">
        <v>821</v>
      </c>
    </row>
    <row r="122" customFormat="false" ht="39.55" hidden="false" customHeight="false" outlineLevel="0" collapsed="false">
      <c r="A122" s="6" t="s">
        <v>822</v>
      </c>
      <c r="B122" s="6" t="s">
        <v>115</v>
      </c>
      <c r="C122" s="6" t="s">
        <v>814</v>
      </c>
      <c r="D122" s="6" t="s">
        <v>20</v>
      </c>
      <c r="E122" s="5" t="s">
        <v>45</v>
      </c>
      <c r="F122" s="6"/>
      <c r="G122" s="6"/>
      <c r="H122" s="6" t="s">
        <v>823</v>
      </c>
      <c r="I122" s="6" t="s">
        <v>824</v>
      </c>
      <c r="J122" s="6" t="s">
        <v>825</v>
      </c>
      <c r="K122" s="6"/>
      <c r="L122" s="6" t="s">
        <v>826</v>
      </c>
      <c r="M122" s="6"/>
      <c r="N122" s="6" t="s">
        <v>827</v>
      </c>
      <c r="O122" s="6"/>
      <c r="P122" s="6" t="s">
        <v>828</v>
      </c>
      <c r="Q122" s="6"/>
    </row>
    <row r="123" customFormat="false" ht="39.55" hidden="false" customHeight="false" outlineLevel="0" collapsed="false">
      <c r="A123" s="2" t="s">
        <v>829</v>
      </c>
      <c r="B123" s="2" t="s">
        <v>808</v>
      </c>
      <c r="C123" s="2" t="s">
        <v>830</v>
      </c>
      <c r="D123" s="2" t="s">
        <v>799</v>
      </c>
      <c r="E123" s="4" t="s">
        <v>33</v>
      </c>
      <c r="F123" s="2" t="n">
        <v>2028</v>
      </c>
      <c r="G123" s="2"/>
      <c r="H123" s="2" t="s">
        <v>831</v>
      </c>
      <c r="I123" s="2" t="s">
        <v>832</v>
      </c>
      <c r="J123" s="2" t="s">
        <v>833</v>
      </c>
      <c r="K123" s="2"/>
      <c r="L123" s="2" t="s">
        <v>834</v>
      </c>
      <c r="M123" s="2"/>
      <c r="N123" s="2" t="s">
        <v>835</v>
      </c>
      <c r="O123" s="2"/>
      <c r="P123" s="2" t="s">
        <v>836</v>
      </c>
      <c r="Q123" s="2" t="s">
        <v>837</v>
      </c>
    </row>
    <row r="124" customFormat="false" ht="39.55" hidden="false" customHeight="false" outlineLevel="0" collapsed="false">
      <c r="A124" s="2" t="s">
        <v>838</v>
      </c>
      <c r="B124" s="2" t="s">
        <v>18</v>
      </c>
      <c r="C124" s="2" t="s">
        <v>839</v>
      </c>
      <c r="D124" s="2" t="s">
        <v>840</v>
      </c>
      <c r="E124" s="4" t="s">
        <v>33</v>
      </c>
      <c r="F124" s="2"/>
      <c r="G124" s="2"/>
      <c r="H124" s="2" t="s">
        <v>841</v>
      </c>
      <c r="I124" s="2" t="s">
        <v>842</v>
      </c>
      <c r="J124" s="2" t="s">
        <v>843</v>
      </c>
      <c r="K124" s="2"/>
      <c r="L124" s="2" t="s">
        <v>844</v>
      </c>
      <c r="M124" s="2"/>
      <c r="N124" s="2" t="s">
        <v>845</v>
      </c>
      <c r="O124" s="2"/>
      <c r="P124" s="2" t="s">
        <v>846</v>
      </c>
      <c r="Q124" s="2" t="s">
        <v>847</v>
      </c>
    </row>
    <row r="125" customFormat="false" ht="39.55" hidden="false" customHeight="false" outlineLevel="0" collapsed="false">
      <c r="A125" s="2" t="s">
        <v>848</v>
      </c>
      <c r="B125" s="2" t="s">
        <v>849</v>
      </c>
      <c r="C125" s="2" t="s">
        <v>850</v>
      </c>
      <c r="D125" s="2" t="s">
        <v>641</v>
      </c>
      <c r="E125" s="4" t="s">
        <v>33</v>
      </c>
      <c r="F125" s="2"/>
      <c r="G125" s="2"/>
      <c r="H125" s="2" t="s">
        <v>851</v>
      </c>
      <c r="I125" s="2" t="s">
        <v>852</v>
      </c>
      <c r="J125" s="2" t="s">
        <v>853</v>
      </c>
      <c r="K125" s="2"/>
      <c r="L125" s="2" t="s">
        <v>854</v>
      </c>
      <c r="M125" s="2"/>
      <c r="N125" s="2" t="s">
        <v>855</v>
      </c>
      <c r="O125" s="2"/>
      <c r="P125" s="2" t="s">
        <v>856</v>
      </c>
      <c r="Q125" s="2" t="s">
        <v>857</v>
      </c>
    </row>
    <row r="126" customFormat="false" ht="39.55" hidden="false" customHeight="false" outlineLevel="0" collapsed="false">
      <c r="A126" s="2" t="s">
        <v>858</v>
      </c>
      <c r="B126" s="2" t="s">
        <v>115</v>
      </c>
      <c r="C126" s="2" t="s">
        <v>859</v>
      </c>
      <c r="D126" s="2" t="s">
        <v>32</v>
      </c>
      <c r="E126" s="5" t="s">
        <v>45</v>
      </c>
      <c r="F126" s="2"/>
      <c r="G126" s="2"/>
      <c r="H126" s="2" t="s">
        <v>860</v>
      </c>
      <c r="I126" s="2" t="s">
        <v>861</v>
      </c>
      <c r="J126" s="2" t="s">
        <v>862</v>
      </c>
      <c r="K126" s="2"/>
      <c r="L126" s="2" t="s">
        <v>863</v>
      </c>
      <c r="M126" s="2"/>
      <c r="N126" s="2" t="s">
        <v>864</v>
      </c>
      <c r="O126" s="2"/>
      <c r="P126" s="2" t="s">
        <v>865</v>
      </c>
      <c r="Q126" s="2"/>
    </row>
    <row r="127" customFormat="false" ht="39.55" hidden="false" customHeight="false" outlineLevel="0" collapsed="false">
      <c r="A127" s="2" t="s">
        <v>866</v>
      </c>
      <c r="B127" s="2" t="s">
        <v>867</v>
      </c>
      <c r="C127" s="2" t="s">
        <v>839</v>
      </c>
      <c r="D127" s="2" t="s">
        <v>840</v>
      </c>
      <c r="E127" s="3" t="s">
        <v>21</v>
      </c>
      <c r="F127" s="2" t="n">
        <v>2023</v>
      </c>
      <c r="G127" s="2"/>
      <c r="H127" s="2" t="s">
        <v>868</v>
      </c>
      <c r="I127" s="2" t="s">
        <v>869</v>
      </c>
      <c r="J127" s="2" t="s">
        <v>870</v>
      </c>
      <c r="K127" s="2"/>
      <c r="L127" s="2" t="s">
        <v>871</v>
      </c>
      <c r="M127" s="2"/>
      <c r="N127" s="2" t="s">
        <v>872</v>
      </c>
      <c r="O127" s="2"/>
      <c r="P127" s="2" t="s">
        <v>873</v>
      </c>
      <c r="Q127" s="2" t="s">
        <v>874</v>
      </c>
    </row>
    <row r="128" customFormat="false" ht="39.55" hidden="false" customHeight="false" outlineLevel="0" collapsed="false">
      <c r="A128" s="2" t="s">
        <v>875</v>
      </c>
      <c r="B128" s="2" t="s">
        <v>115</v>
      </c>
      <c r="C128" s="2" t="s">
        <v>876</v>
      </c>
      <c r="D128" s="2" t="s">
        <v>877</v>
      </c>
      <c r="E128" s="5" t="s">
        <v>45</v>
      </c>
      <c r="F128" s="2"/>
      <c r="G128" s="2"/>
      <c r="H128" s="2" t="s">
        <v>878</v>
      </c>
      <c r="I128" s="2" t="s">
        <v>879</v>
      </c>
      <c r="J128" s="2" t="s">
        <v>880</v>
      </c>
      <c r="K128" s="2"/>
      <c r="L128" s="2" t="s">
        <v>881</v>
      </c>
      <c r="M128" s="2"/>
      <c r="N128" s="2" t="s">
        <v>882</v>
      </c>
      <c r="O128" s="2"/>
      <c r="P128" s="2" t="s">
        <v>883</v>
      </c>
      <c r="Q12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7" t="s">
        <v>884</v>
      </c>
      <c r="B1" s="7" t="s">
        <v>885</v>
      </c>
      <c r="C1" s="7" t="s">
        <v>886</v>
      </c>
      <c r="D1" s="7" t="s">
        <v>887</v>
      </c>
      <c r="E1" s="7" t="s">
        <v>45</v>
      </c>
      <c r="F1" s="7" t="s">
        <v>21</v>
      </c>
      <c r="G1" s="7" t="s">
        <v>33</v>
      </c>
    </row>
    <row r="2" customFormat="false" ht="15" hidden="false" customHeight="false" outlineLevel="0" collapsed="false">
      <c r="A2" s="8" t="s">
        <v>888</v>
      </c>
      <c r="B2" s="8" t="s">
        <v>20</v>
      </c>
      <c r="C2" s="8" t="n">
        <v>1</v>
      </c>
      <c r="D2" s="9" t="n">
        <f aca="false">C2/C17</f>
        <v>0.0078740157480315</v>
      </c>
      <c r="E2" s="8"/>
      <c r="F2" s="8" t="n">
        <v>1</v>
      </c>
      <c r="G2" s="8"/>
    </row>
    <row r="3" customFormat="false" ht="15" hidden="false" customHeight="false" outlineLevel="0" collapsed="false">
      <c r="A3" s="8" t="s">
        <v>31</v>
      </c>
      <c r="B3" s="8" t="s">
        <v>32</v>
      </c>
      <c r="C3" s="8" t="n">
        <v>1</v>
      </c>
      <c r="D3" s="9" t="n">
        <f aca="false">C3/C17</f>
        <v>0.0078740157480315</v>
      </c>
      <c r="E3" s="8"/>
      <c r="F3" s="8"/>
      <c r="G3" s="8" t="n">
        <v>1</v>
      </c>
    </row>
    <row r="4" customFormat="false" ht="15" hidden="false" customHeight="false" outlineLevel="0" collapsed="false">
      <c r="A4" s="8" t="s">
        <v>43</v>
      </c>
      <c r="B4" s="8" t="s">
        <v>44</v>
      </c>
      <c r="C4" s="8" t="n">
        <v>37</v>
      </c>
      <c r="D4" s="9" t="n">
        <f aca="false">C4/C17</f>
        <v>0.291338582677165</v>
      </c>
      <c r="E4" s="8" t="n">
        <v>33</v>
      </c>
      <c r="F4" s="8" t="n">
        <v>2</v>
      </c>
      <c r="G4" s="8" t="n">
        <v>2</v>
      </c>
    </row>
    <row r="5" customFormat="false" ht="15" hidden="false" customHeight="false" outlineLevel="0" collapsed="false">
      <c r="A5" s="8" t="s">
        <v>290</v>
      </c>
      <c r="B5" s="8" t="s">
        <v>263</v>
      </c>
      <c r="C5" s="8" t="n">
        <v>44</v>
      </c>
      <c r="D5" s="9" t="n">
        <f aca="false">C5/C17</f>
        <v>0.346456692913386</v>
      </c>
      <c r="E5" s="8" t="n">
        <v>15</v>
      </c>
      <c r="F5" s="8" t="n">
        <v>23</v>
      </c>
      <c r="G5" s="8" t="n">
        <v>6</v>
      </c>
    </row>
    <row r="6" customFormat="false" ht="15" hidden="false" customHeight="false" outlineLevel="0" collapsed="false">
      <c r="A6" s="8" t="s">
        <v>545</v>
      </c>
      <c r="B6" s="8" t="s">
        <v>546</v>
      </c>
      <c r="C6" s="8" t="n">
        <v>26</v>
      </c>
      <c r="D6" s="9" t="n">
        <f aca="false">C6/C17</f>
        <v>0.204724409448819</v>
      </c>
      <c r="E6" s="8" t="n">
        <v>18</v>
      </c>
      <c r="F6" s="8" t="n">
        <v>5</v>
      </c>
      <c r="G6" s="8" t="n">
        <v>3</v>
      </c>
    </row>
    <row r="7" customFormat="false" ht="15" hidden="false" customHeight="false" outlineLevel="0" collapsed="false">
      <c r="A7" s="8" t="s">
        <v>742</v>
      </c>
      <c r="B7" s="8" t="s">
        <v>44</v>
      </c>
      <c r="C7" s="8" t="n">
        <v>6</v>
      </c>
      <c r="D7" s="9" t="n">
        <f aca="false">C7/C17</f>
        <v>0.047244094488189</v>
      </c>
      <c r="E7" s="8" t="n">
        <v>6</v>
      </c>
      <c r="F7" s="8"/>
      <c r="G7" s="8"/>
    </row>
    <row r="8" customFormat="false" ht="15" hidden="false" customHeight="false" outlineLevel="0" collapsed="false">
      <c r="A8" s="8" t="s">
        <v>44</v>
      </c>
      <c r="B8" s="8" t="s">
        <v>44</v>
      </c>
      <c r="C8" s="8" t="n">
        <v>2</v>
      </c>
      <c r="D8" s="9" t="n">
        <f aca="false">C8/C17</f>
        <v>0.015748031496063</v>
      </c>
      <c r="E8" s="8" t="n">
        <v>1</v>
      </c>
      <c r="F8" s="8"/>
      <c r="G8" s="8" t="n">
        <v>1</v>
      </c>
    </row>
    <row r="9" customFormat="false" ht="15" hidden="false" customHeight="false" outlineLevel="0" collapsed="false">
      <c r="A9" s="8" t="s">
        <v>798</v>
      </c>
      <c r="B9" s="8" t="s">
        <v>799</v>
      </c>
      <c r="C9" s="8" t="n">
        <v>2</v>
      </c>
      <c r="D9" s="9" t="n">
        <f aca="false">C9/C17</f>
        <v>0.015748031496063</v>
      </c>
      <c r="E9" s="8" t="n">
        <v>1</v>
      </c>
      <c r="F9" s="8"/>
      <c r="G9" s="8" t="n">
        <v>1</v>
      </c>
    </row>
    <row r="10" customFormat="false" ht="15" hidden="false" customHeight="false" outlineLevel="0" collapsed="false">
      <c r="A10" s="8" t="s">
        <v>814</v>
      </c>
      <c r="B10" s="8" t="s">
        <v>20</v>
      </c>
      <c r="C10" s="8" t="n">
        <v>2</v>
      </c>
      <c r="D10" s="9" t="n">
        <f aca="false">C10/C17</f>
        <v>0.015748031496063</v>
      </c>
      <c r="E10" s="8" t="n">
        <v>2</v>
      </c>
      <c r="F10" s="8"/>
      <c r="G10" s="8"/>
    </row>
    <row r="11" customFormat="false" ht="15" hidden="false" customHeight="false" outlineLevel="0" collapsed="false">
      <c r="A11" s="8" t="s">
        <v>830</v>
      </c>
      <c r="B11" s="8" t="s">
        <v>799</v>
      </c>
      <c r="C11" s="8" t="n">
        <v>1</v>
      </c>
      <c r="D11" s="9" t="n">
        <f aca="false">C11/C17</f>
        <v>0.0078740157480315</v>
      </c>
      <c r="E11" s="8"/>
      <c r="F11" s="8"/>
      <c r="G11" s="8" t="n">
        <v>1</v>
      </c>
    </row>
    <row r="12" customFormat="false" ht="15" hidden="false" customHeight="false" outlineLevel="0" collapsed="false">
      <c r="A12" s="8" t="s">
        <v>839</v>
      </c>
      <c r="B12" s="8" t="s">
        <v>840</v>
      </c>
      <c r="C12" s="8" t="n">
        <v>1</v>
      </c>
      <c r="D12" s="9" t="n">
        <f aca="false">C12/C17</f>
        <v>0.0078740157480315</v>
      </c>
      <c r="E12" s="8"/>
      <c r="F12" s="8"/>
      <c r="G12" s="8" t="n">
        <v>1</v>
      </c>
    </row>
    <row r="13" customFormat="false" ht="15" hidden="false" customHeight="false" outlineLevel="0" collapsed="false">
      <c r="A13" s="8" t="s">
        <v>889</v>
      </c>
      <c r="B13" s="8" t="s">
        <v>641</v>
      </c>
      <c r="C13" s="8" t="n">
        <v>1</v>
      </c>
      <c r="D13" s="9" t="n">
        <f aca="false">C13/C17</f>
        <v>0.0078740157480315</v>
      </c>
      <c r="E13" s="8"/>
      <c r="F13" s="8"/>
      <c r="G13" s="8" t="n">
        <v>1</v>
      </c>
    </row>
    <row r="14" customFormat="false" ht="15" hidden="false" customHeight="false" outlineLevel="0" collapsed="false">
      <c r="A14" s="8" t="s">
        <v>859</v>
      </c>
      <c r="B14" s="8" t="s">
        <v>32</v>
      </c>
      <c r="C14" s="8" t="n">
        <v>1</v>
      </c>
      <c r="D14" s="9" t="n">
        <f aca="false">C14/C17</f>
        <v>0.0078740157480315</v>
      </c>
      <c r="E14" s="8" t="n">
        <v>1</v>
      </c>
      <c r="F14" s="8"/>
      <c r="G14" s="8"/>
    </row>
    <row r="15" customFormat="false" ht="15" hidden="false" customHeight="false" outlineLevel="0" collapsed="false">
      <c r="A15" s="8" t="s">
        <v>890</v>
      </c>
      <c r="B15" s="8" t="s">
        <v>840</v>
      </c>
      <c r="C15" s="8" t="n">
        <v>1</v>
      </c>
      <c r="D15" s="9" t="n">
        <f aca="false">C15/C17</f>
        <v>0.0078740157480315</v>
      </c>
      <c r="E15" s="8"/>
      <c r="F15" s="8" t="n">
        <v>1</v>
      </c>
      <c r="G15" s="8"/>
    </row>
    <row r="16" customFormat="false" ht="15" hidden="false" customHeight="false" outlineLevel="0" collapsed="false">
      <c r="A16" s="8" t="s">
        <v>876</v>
      </c>
      <c r="B16" s="8" t="s">
        <v>877</v>
      </c>
      <c r="C16" s="8" t="n">
        <v>1</v>
      </c>
      <c r="D16" s="9" t="n">
        <f aca="false">C16/C17</f>
        <v>0.0078740157480315</v>
      </c>
      <c r="E16" s="8" t="n">
        <v>1</v>
      </c>
      <c r="F16" s="8"/>
      <c r="G16" s="8"/>
    </row>
    <row r="17" customFormat="false" ht="15" hidden="false" customHeight="false" outlineLevel="0" collapsed="false">
      <c r="A17" s="10" t="s">
        <v>891</v>
      </c>
      <c r="B17" s="11"/>
      <c r="C17" s="10" t="n">
        <f aca="false">SUM(C2:C16)</f>
        <v>127</v>
      </c>
      <c r="D17" s="12" t="n">
        <f aca="false">SUM(D2:D16)</f>
        <v>1</v>
      </c>
      <c r="E17" s="10" t="n">
        <f aca="false">SUM(E2:E16)</f>
        <v>78</v>
      </c>
      <c r="F17" s="10" t="n">
        <f aca="false">SUM(F2:F16)</f>
        <v>32</v>
      </c>
      <c r="G17" s="10" t="n">
        <f aca="false">SUM(G2:G16)</f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7.35" hidden="false" customHeight="false" outlineLevel="0" collapsed="false">
      <c r="A1" s="13" t="s">
        <v>892</v>
      </c>
    </row>
    <row r="2" customFormat="false" ht="15" hidden="false" customHeight="false" outlineLevel="0" collapsed="false">
      <c r="A2" s="14"/>
    </row>
    <row r="3" customFormat="false" ht="15" hidden="false" customHeight="false" outlineLevel="0" collapsed="false">
      <c r="A3" s="14" t="s">
        <v>893</v>
      </c>
    </row>
    <row r="4" customFormat="false" ht="15" hidden="false" customHeight="false" outlineLevel="0" collapsed="false">
      <c r="A4" s="14" t="s">
        <v>894</v>
      </c>
    </row>
    <row r="5" customFormat="false" ht="15" hidden="false" customHeight="false" outlineLevel="0" collapsed="false">
      <c r="A5" s="14" t="s">
        <v>895</v>
      </c>
    </row>
    <row r="6" customFormat="false" ht="15" hidden="false" customHeight="false" outlineLevel="0" collapsed="false">
      <c r="A6" s="14"/>
    </row>
    <row r="7" customFormat="false" ht="15" hidden="false" customHeight="false" outlineLevel="0" collapsed="false">
      <c r="A7" s="14" t="s">
        <v>896</v>
      </c>
    </row>
    <row r="8" customFormat="false" ht="15" hidden="false" customHeight="false" outlineLevel="0" collapsed="false">
      <c r="A8" s="14" t="s">
        <v>897</v>
      </c>
    </row>
    <row r="9" customFormat="false" ht="15" hidden="false" customHeight="false" outlineLevel="0" collapsed="false">
      <c r="A9" s="14" t="s">
        <v>898</v>
      </c>
    </row>
    <row r="10" customFormat="false" ht="15" hidden="false" customHeight="false" outlineLevel="0" collapsed="false">
      <c r="A10" s="14"/>
    </row>
    <row r="11" customFormat="false" ht="15" hidden="false" customHeight="false" outlineLevel="0" collapsed="false">
      <c r="A11" s="14" t="s">
        <v>899</v>
      </c>
    </row>
    <row r="12" customFormat="false" ht="15" hidden="false" customHeight="false" outlineLevel="0" collapsed="false">
      <c r="A12" s="14" t="s">
        <v>900</v>
      </c>
    </row>
    <row r="13" customFormat="false" ht="15" hidden="false" customHeight="false" outlineLevel="0" collapsed="false">
      <c r="A13" s="14" t="s">
        <v>901</v>
      </c>
    </row>
    <row r="14" customFormat="false" ht="15" hidden="false" customHeight="false" outlineLevel="0" collapsed="false">
      <c r="A14" s="14" t="s">
        <v>902</v>
      </c>
    </row>
    <row r="15" customFormat="false" ht="15" hidden="false" customHeight="false" outlineLevel="0" collapsed="false">
      <c r="A15" s="14" t="s">
        <v>903</v>
      </c>
    </row>
    <row r="16" customFormat="false" ht="15" hidden="false" customHeight="false" outlineLevel="0" collapsed="false">
      <c r="A16" s="14" t="s">
        <v>904</v>
      </c>
    </row>
    <row r="17" customFormat="false" ht="15" hidden="false" customHeight="false" outlineLevel="0" collapsed="false">
      <c r="A17" s="14" t="s">
        <v>905</v>
      </c>
    </row>
    <row r="18" customFormat="false" ht="15" hidden="false" customHeight="false" outlineLevel="0" collapsed="false">
      <c r="A18" s="14" t="s">
        <v>906</v>
      </c>
    </row>
    <row r="19" customFormat="false" ht="15" hidden="false" customHeight="false" outlineLevel="0" collapsed="false">
      <c r="A19" s="14" t="s">
        <v>907</v>
      </c>
    </row>
    <row r="20" customFormat="false" ht="15" hidden="false" customHeight="false" outlineLevel="0" collapsed="false">
      <c r="A20" s="14" t="s">
        <v>908</v>
      </c>
    </row>
    <row r="21" customFormat="false" ht="15" hidden="false" customHeight="false" outlineLevel="0" collapsed="false">
      <c r="A21" s="14" t="s">
        <v>909</v>
      </c>
    </row>
    <row r="22" customFormat="false" ht="15" hidden="false" customHeight="false" outlineLevel="0" collapsed="false">
      <c r="A22" s="14"/>
    </row>
    <row r="23" customFormat="false" ht="15" hidden="false" customHeight="false" outlineLevel="0" collapsed="false">
      <c r="A23" s="15" t="s">
        <v>910</v>
      </c>
    </row>
    <row r="24" customFormat="false" ht="15" hidden="false" customHeight="false" outlineLevel="0" collapsed="false">
      <c r="A24" s="14" t="s">
        <v>911</v>
      </c>
    </row>
    <row r="25" customFormat="false" ht="15" hidden="false" customHeight="false" outlineLevel="0" collapsed="false">
      <c r="A25" s="14" t="s">
        <v>912</v>
      </c>
    </row>
    <row r="26" customFormat="false" ht="15" hidden="false" customHeight="false" outlineLevel="0" collapsed="false">
      <c r="A26" s="14" t="s">
        <v>913</v>
      </c>
    </row>
    <row r="27" customFormat="false" ht="15" hidden="false" customHeight="false" outlineLevel="0" collapsed="false">
      <c r="A27" s="14" t="s">
        <v>914</v>
      </c>
    </row>
    <row r="28" customFormat="false" ht="15" hidden="false" customHeight="false" outlineLevel="0" collapsed="false">
      <c r="A28" s="14" t="s">
        <v>915</v>
      </c>
    </row>
    <row r="29" customFormat="false" ht="15" hidden="false" customHeight="false" outlineLevel="0" collapsed="false">
      <c r="A29" s="14"/>
    </row>
    <row r="30" customFormat="false" ht="15" hidden="false" customHeight="false" outlineLevel="0" collapsed="false">
      <c r="A30" s="15" t="s">
        <v>916</v>
      </c>
    </row>
    <row r="31" customFormat="false" ht="15" hidden="false" customHeight="false" outlineLevel="0" collapsed="false">
      <c r="A31" s="14" t="s">
        <v>917</v>
      </c>
    </row>
    <row r="32" customFormat="false" ht="15" hidden="false" customHeight="false" outlineLevel="0" collapsed="false">
      <c r="A32" s="14" t="s">
        <v>918</v>
      </c>
    </row>
    <row r="33" customFormat="false" ht="15" hidden="false" customHeight="false" outlineLevel="0" collapsed="false">
      <c r="A33" s="14" t="s">
        <v>919</v>
      </c>
    </row>
    <row r="34" customFormat="false" ht="15" hidden="false" customHeight="false" outlineLevel="0" collapsed="false">
      <c r="A34" s="14" t="s">
        <v>920</v>
      </c>
    </row>
    <row r="35" customFormat="false" ht="15" hidden="false" customHeight="false" outlineLevel="0" collapsed="false">
      <c r="A35" s="14" t="s">
        <v>921</v>
      </c>
    </row>
    <row r="36" customFormat="false" ht="15" hidden="false" customHeight="false" outlineLevel="0" collapsed="false">
      <c r="A36" s="14" t="s">
        <v>922</v>
      </c>
    </row>
    <row r="37" customFormat="false" ht="15" hidden="false" customHeight="false" outlineLevel="0" collapsed="false">
      <c r="A37" s="14" t="s">
        <v>923</v>
      </c>
    </row>
    <row r="38" customFormat="false" ht="15" hidden="false" customHeight="false" outlineLevel="0" collapsed="false">
      <c r="A38" s="14" t="s">
        <v>924</v>
      </c>
    </row>
    <row r="39" customFormat="false" ht="15" hidden="false" customHeight="false" outlineLevel="0" collapsed="false">
      <c r="A39" s="14"/>
    </row>
    <row r="40" customFormat="false" ht="15" hidden="false" customHeight="false" outlineLevel="0" collapsed="false">
      <c r="A40" s="14" t="s">
        <v>925</v>
      </c>
    </row>
    <row r="41" customFormat="false" ht="15" hidden="false" customHeight="false" outlineLevel="0" collapsed="false">
      <c r="A41" s="15" t="s">
        <v>926</v>
      </c>
    </row>
    <row r="42" customFormat="false" ht="15" hidden="false" customHeight="false" outlineLevel="0" collapsed="false">
      <c r="A42" s="14" t="s">
        <v>927</v>
      </c>
    </row>
    <row r="43" customFormat="false" ht="15" hidden="false" customHeight="false" outlineLevel="0" collapsed="false">
      <c r="A43" s="14" t="s">
        <v>928</v>
      </c>
    </row>
    <row r="44" customFormat="false" ht="15" hidden="false" customHeight="false" outlineLevel="0" collapsed="false">
      <c r="A44" s="14" t="s">
        <v>929</v>
      </c>
    </row>
    <row r="45" customFormat="false" ht="15" hidden="false" customHeight="false" outlineLevel="0" collapsed="false">
      <c r="A45" s="14" t="s">
        <v>930</v>
      </c>
    </row>
    <row r="46" customFormat="false" ht="15" hidden="false" customHeight="false" outlineLevel="0" collapsed="false">
      <c r="A46" s="14" t="s">
        <v>931</v>
      </c>
    </row>
    <row r="47" customFormat="false" ht="15" hidden="false" customHeight="false" outlineLevel="0" collapsed="false">
      <c r="A47" s="14" t="s">
        <v>932</v>
      </c>
    </row>
    <row r="48" customFormat="false" ht="15" hidden="false" customHeight="false" outlineLevel="0" collapsed="false">
      <c r="A48" s="14"/>
    </row>
    <row r="49" customFormat="false" ht="15" hidden="false" customHeight="false" outlineLevel="0" collapsed="false">
      <c r="A49" s="15" t="s">
        <v>933</v>
      </c>
    </row>
    <row r="50" customFormat="false" ht="15" hidden="false" customHeight="false" outlineLevel="0" collapsed="false">
      <c r="A50" s="14" t="s">
        <v>934</v>
      </c>
    </row>
    <row r="51" customFormat="false" ht="15" hidden="false" customHeight="false" outlineLevel="0" collapsed="false">
      <c r="A51" s="14" t="s">
        <v>935</v>
      </c>
    </row>
    <row r="52" customFormat="false" ht="15" hidden="false" customHeight="false" outlineLevel="0" collapsed="false">
      <c r="A52" s="14" t="s">
        <v>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2026-04-16T14:37:56Z</dcterms:created>
  <dc:creator>openpyxl</dc:creator>
  <dc:description/>
  <dc:language>en-US</dc:language>
  <cp:lastModifiedBy/>
  <dcterms:modified xsi:type="dcterms:W3CDTF">2026-04-16T14:37:56Z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